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Backups\InsiderTechSol\Aviation\Jetelio_v3\v4\"/>
    </mc:Choice>
  </mc:AlternateContent>
  <xr:revisionPtr revIDLastSave="0" documentId="13_ncr:1_{C68F84AB-FB23-4885-A09E-F427A261AF74}" xr6:coauthVersionLast="47" xr6:coauthVersionMax="47" xr10:uidLastSave="{00000000-0000-0000-0000-000000000000}"/>
  <bookViews>
    <workbookView xWindow="-108" yWindow="-108" windowWidth="23256" windowHeight="14856" activeTab="1" xr2:uid="{9E0D0CDE-971C-4D8D-8E62-13A0FC2B6895}"/>
  </bookViews>
  <sheets>
    <sheet name="Collector" sheetId="1" r:id="rId1"/>
    <sheet name="I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5" i="2" l="1"/>
  <c r="P5" i="2"/>
  <c r="O6" i="2"/>
  <c r="P6" i="2"/>
  <c r="O7" i="2"/>
  <c r="P7" i="2"/>
  <c r="O8" i="2"/>
  <c r="P8" i="2"/>
  <c r="O9" i="2"/>
  <c r="P9" i="2"/>
  <c r="O10" i="2"/>
  <c r="P10" i="2"/>
  <c r="O11" i="2"/>
  <c r="P11" i="2"/>
  <c r="O12" i="2"/>
  <c r="P12" i="2"/>
  <c r="O13" i="2"/>
  <c r="P13" i="2"/>
  <c r="O14" i="2"/>
  <c r="P14" i="2"/>
  <c r="O15" i="2"/>
  <c r="P15" i="2"/>
  <c r="O16" i="2"/>
  <c r="P16" i="2"/>
  <c r="O17" i="2"/>
  <c r="P17" i="2"/>
  <c r="O18" i="2"/>
  <c r="P18" i="2"/>
  <c r="O19" i="2"/>
  <c r="P19" i="2"/>
  <c r="O20" i="2"/>
  <c r="P20" i="2"/>
  <c r="O21" i="2"/>
  <c r="P21" i="2"/>
  <c r="O22" i="2"/>
  <c r="P22" i="2"/>
  <c r="O23" i="2"/>
  <c r="P23" i="2"/>
  <c r="O24" i="2"/>
  <c r="P24" i="2"/>
  <c r="O25" i="2"/>
  <c r="P25" i="2"/>
  <c r="O26" i="2"/>
  <c r="P26" i="2"/>
  <c r="O27" i="2"/>
  <c r="P27" i="2"/>
  <c r="O28" i="2"/>
  <c r="P28" i="2"/>
  <c r="O29" i="2"/>
  <c r="P29" i="2"/>
  <c r="O30" i="2"/>
  <c r="P30" i="2"/>
  <c r="O31" i="2"/>
  <c r="P31" i="2"/>
  <c r="O32" i="2"/>
  <c r="P32" i="2"/>
  <c r="O33" i="2"/>
  <c r="P33" i="2"/>
  <c r="O34" i="2"/>
  <c r="P34" i="2"/>
  <c r="O35" i="2"/>
  <c r="P35" i="2"/>
  <c r="O36" i="2"/>
  <c r="P36" i="2"/>
  <c r="O37" i="2"/>
  <c r="P37" i="2"/>
  <c r="O38" i="2"/>
  <c r="P38" i="2"/>
  <c r="O39" i="2"/>
  <c r="P39" i="2"/>
  <c r="O40" i="2"/>
  <c r="P40" i="2"/>
  <c r="O41" i="2"/>
  <c r="P41" i="2"/>
  <c r="O42" i="2"/>
  <c r="P42" i="2"/>
  <c r="O43" i="2"/>
  <c r="P43" i="2"/>
  <c r="O44" i="2"/>
  <c r="P44" i="2"/>
  <c r="O45" i="2"/>
  <c r="P45" i="2"/>
  <c r="O46" i="2"/>
  <c r="P46" i="2"/>
  <c r="O47" i="2"/>
  <c r="P47" i="2"/>
  <c r="O48" i="2"/>
  <c r="P48" i="2"/>
  <c r="O49" i="2"/>
  <c r="P49" i="2"/>
  <c r="O50" i="2"/>
  <c r="P50" i="2"/>
  <c r="O51" i="2"/>
  <c r="P51" i="2"/>
  <c r="O52" i="2"/>
  <c r="P52" i="2"/>
  <c r="O53" i="2"/>
  <c r="P53" i="2"/>
  <c r="O54" i="2"/>
  <c r="P54" i="2"/>
  <c r="O55" i="2"/>
  <c r="P55" i="2"/>
  <c r="O56" i="2"/>
  <c r="P56" i="2"/>
  <c r="O57" i="2"/>
  <c r="P57" i="2"/>
  <c r="O4" i="2"/>
  <c r="P4" i="2"/>
  <c r="A4" i="2"/>
  <c r="E4" i="2"/>
  <c r="F4" i="2"/>
  <c r="G4" i="2"/>
  <c r="H4" i="2"/>
  <c r="I4" i="2"/>
  <c r="J4" i="2"/>
  <c r="K4" i="2"/>
  <c r="L4" i="2"/>
  <c r="M4" i="2"/>
  <c r="N4" i="2"/>
  <c r="A5" i="2"/>
  <c r="E5" i="2"/>
  <c r="F5" i="2"/>
  <c r="G5" i="2"/>
  <c r="H5" i="2"/>
  <c r="I5" i="2"/>
  <c r="J5" i="2"/>
  <c r="K5" i="2"/>
  <c r="L5" i="2"/>
  <c r="M5" i="2"/>
  <c r="N5" i="2"/>
  <c r="A6" i="2"/>
  <c r="E6" i="2"/>
  <c r="F6" i="2"/>
  <c r="G6" i="2"/>
  <c r="H6" i="2"/>
  <c r="I6" i="2"/>
  <c r="J6" i="2"/>
  <c r="K6" i="2"/>
  <c r="L6" i="2"/>
  <c r="M6" i="2"/>
  <c r="N6" i="2"/>
  <c r="A7" i="2"/>
  <c r="E7" i="2"/>
  <c r="F7" i="2"/>
  <c r="G7" i="2"/>
  <c r="H7" i="2"/>
  <c r="I7" i="2"/>
  <c r="J7" i="2"/>
  <c r="K7" i="2"/>
  <c r="L7" i="2"/>
  <c r="M7" i="2"/>
  <c r="N7" i="2"/>
  <c r="A8" i="2"/>
  <c r="E8" i="2"/>
  <c r="F8" i="2"/>
  <c r="G8" i="2"/>
  <c r="H8" i="2"/>
  <c r="I8" i="2"/>
  <c r="J8" i="2"/>
  <c r="K8" i="2"/>
  <c r="L8" i="2"/>
  <c r="M8" i="2"/>
  <c r="N8" i="2"/>
  <c r="A9" i="2"/>
  <c r="E9" i="2"/>
  <c r="F9" i="2"/>
  <c r="G9" i="2"/>
  <c r="H9" i="2"/>
  <c r="I9" i="2"/>
  <c r="J9" i="2"/>
  <c r="K9" i="2"/>
  <c r="L9" i="2"/>
  <c r="M9" i="2"/>
  <c r="N9" i="2"/>
  <c r="A10" i="2"/>
  <c r="E10" i="2"/>
  <c r="F10" i="2"/>
  <c r="G10" i="2"/>
  <c r="H10" i="2"/>
  <c r="I10" i="2"/>
  <c r="J10" i="2"/>
  <c r="K10" i="2"/>
  <c r="L10" i="2"/>
  <c r="M10" i="2"/>
  <c r="N10" i="2"/>
  <c r="A11" i="2"/>
  <c r="E11" i="2"/>
  <c r="F11" i="2"/>
  <c r="G11" i="2"/>
  <c r="H11" i="2"/>
  <c r="I11" i="2"/>
  <c r="J11" i="2"/>
  <c r="K11" i="2"/>
  <c r="L11" i="2"/>
  <c r="M11" i="2"/>
  <c r="N11" i="2"/>
  <c r="A12" i="2"/>
  <c r="B12" i="2"/>
  <c r="D12" i="2"/>
  <c r="E12" i="2"/>
  <c r="F12" i="2"/>
  <c r="G12" i="2"/>
  <c r="H12" i="2"/>
  <c r="I12" i="2"/>
  <c r="J12" i="2"/>
  <c r="K12" i="2"/>
  <c r="L12" i="2"/>
  <c r="M12" i="2"/>
  <c r="N12" i="2"/>
  <c r="A13" i="2"/>
  <c r="E13" i="2"/>
  <c r="F13" i="2"/>
  <c r="G13" i="2"/>
  <c r="H13" i="2"/>
  <c r="I13" i="2"/>
  <c r="J13" i="2"/>
  <c r="K13" i="2"/>
  <c r="L13" i="2"/>
  <c r="M13" i="2"/>
  <c r="N13" i="2"/>
  <c r="A14" i="2"/>
  <c r="B14" i="2"/>
  <c r="C14" i="2"/>
  <c r="E14" i="2"/>
  <c r="F14" i="2"/>
  <c r="G14" i="2"/>
  <c r="H14" i="2"/>
  <c r="I14" i="2"/>
  <c r="J14" i="2"/>
  <c r="K14" i="2"/>
  <c r="L14" i="2"/>
  <c r="M14" i="2"/>
  <c r="N14" i="2"/>
  <c r="A15" i="2"/>
  <c r="E15" i="2"/>
  <c r="F15" i="2"/>
  <c r="G15" i="2"/>
  <c r="H15" i="2"/>
  <c r="I15" i="2"/>
  <c r="J15" i="2"/>
  <c r="K15" i="2"/>
  <c r="L15" i="2"/>
  <c r="M15" i="2"/>
  <c r="N15" i="2"/>
  <c r="A16" i="2"/>
  <c r="E16" i="2"/>
  <c r="F16" i="2"/>
  <c r="G16" i="2"/>
  <c r="H16" i="2"/>
  <c r="I16" i="2"/>
  <c r="J16" i="2"/>
  <c r="K16" i="2"/>
  <c r="L16" i="2"/>
  <c r="M16" i="2"/>
  <c r="N16" i="2"/>
  <c r="A17" i="2"/>
  <c r="E17" i="2"/>
  <c r="F17" i="2"/>
  <c r="G17" i="2"/>
  <c r="H17" i="2"/>
  <c r="I17" i="2"/>
  <c r="J17" i="2"/>
  <c r="K17" i="2"/>
  <c r="L17" i="2"/>
  <c r="M17" i="2"/>
  <c r="N17" i="2"/>
  <c r="A18" i="2"/>
  <c r="E18" i="2"/>
  <c r="F18" i="2"/>
  <c r="G18" i="2"/>
  <c r="H18" i="2"/>
  <c r="I18" i="2"/>
  <c r="J18" i="2"/>
  <c r="K18" i="2"/>
  <c r="L18" i="2"/>
  <c r="M18" i="2"/>
  <c r="N18" i="2"/>
  <c r="A19" i="2"/>
  <c r="E19" i="2"/>
  <c r="F19" i="2"/>
  <c r="G19" i="2"/>
  <c r="H19" i="2"/>
  <c r="I19" i="2"/>
  <c r="J19" i="2"/>
  <c r="K19" i="2"/>
  <c r="L19" i="2"/>
  <c r="M19" i="2"/>
  <c r="N19" i="2"/>
  <c r="A20" i="2"/>
  <c r="E20" i="2"/>
  <c r="F20" i="2"/>
  <c r="G20" i="2"/>
  <c r="H20" i="2"/>
  <c r="I20" i="2"/>
  <c r="J20" i="2"/>
  <c r="K20" i="2"/>
  <c r="L20" i="2"/>
  <c r="M20" i="2"/>
  <c r="N20" i="2"/>
  <c r="A21" i="2"/>
  <c r="E21" i="2"/>
  <c r="F21" i="2"/>
  <c r="G21" i="2"/>
  <c r="H21" i="2"/>
  <c r="I21" i="2"/>
  <c r="J21" i="2"/>
  <c r="K21" i="2"/>
  <c r="L21" i="2"/>
  <c r="M21" i="2"/>
  <c r="N21" i="2"/>
  <c r="A22" i="2"/>
  <c r="E22" i="2"/>
  <c r="F22" i="2"/>
  <c r="G22" i="2"/>
  <c r="H22" i="2"/>
  <c r="I22" i="2"/>
  <c r="J22" i="2"/>
  <c r="K22" i="2"/>
  <c r="L22" i="2"/>
  <c r="M22" i="2"/>
  <c r="N22" i="2"/>
  <c r="A23" i="2"/>
  <c r="E23" i="2"/>
  <c r="F23" i="2"/>
  <c r="G23" i="2"/>
  <c r="H23" i="2"/>
  <c r="I23" i="2"/>
  <c r="J23" i="2"/>
  <c r="K23" i="2"/>
  <c r="L23" i="2"/>
  <c r="M23" i="2"/>
  <c r="N23" i="2"/>
  <c r="A24" i="2"/>
  <c r="E24" i="2"/>
  <c r="F24" i="2"/>
  <c r="G24" i="2"/>
  <c r="H24" i="2"/>
  <c r="I24" i="2"/>
  <c r="J24" i="2"/>
  <c r="K24" i="2"/>
  <c r="L24" i="2"/>
  <c r="M24" i="2"/>
  <c r="N24" i="2"/>
  <c r="A25" i="2"/>
  <c r="E25" i="2"/>
  <c r="F25" i="2"/>
  <c r="G25" i="2"/>
  <c r="H25" i="2"/>
  <c r="I25" i="2"/>
  <c r="J25" i="2"/>
  <c r="K25" i="2"/>
  <c r="L25" i="2"/>
  <c r="M25" i="2"/>
  <c r="N25" i="2"/>
  <c r="A26" i="2"/>
  <c r="E26" i="2"/>
  <c r="F26" i="2"/>
  <c r="G26" i="2"/>
  <c r="H26" i="2"/>
  <c r="I26" i="2"/>
  <c r="J26" i="2"/>
  <c r="K26" i="2"/>
  <c r="L26" i="2"/>
  <c r="M26" i="2"/>
  <c r="N26" i="2"/>
  <c r="A27" i="2"/>
  <c r="E27" i="2"/>
  <c r="F27" i="2"/>
  <c r="G27" i="2"/>
  <c r="H27" i="2"/>
  <c r="I27" i="2"/>
  <c r="J27" i="2"/>
  <c r="K27" i="2"/>
  <c r="L27" i="2"/>
  <c r="M27" i="2"/>
  <c r="N27" i="2"/>
  <c r="A28" i="2"/>
  <c r="E28" i="2"/>
  <c r="F28" i="2"/>
  <c r="G28" i="2"/>
  <c r="H28" i="2"/>
  <c r="I28" i="2"/>
  <c r="J28" i="2"/>
  <c r="K28" i="2"/>
  <c r="L28" i="2"/>
  <c r="M28" i="2"/>
  <c r="N28" i="2"/>
  <c r="A29" i="2"/>
  <c r="E29" i="2"/>
  <c r="F29" i="2"/>
  <c r="G29" i="2"/>
  <c r="H29" i="2"/>
  <c r="I29" i="2"/>
  <c r="J29" i="2"/>
  <c r="K29" i="2"/>
  <c r="L29" i="2"/>
  <c r="M29" i="2"/>
  <c r="N29" i="2"/>
  <c r="A30" i="2"/>
  <c r="E30" i="2"/>
  <c r="F30" i="2"/>
  <c r="G30" i="2"/>
  <c r="H30" i="2"/>
  <c r="I30" i="2"/>
  <c r="J30" i="2"/>
  <c r="K30" i="2"/>
  <c r="L30" i="2"/>
  <c r="M30" i="2"/>
  <c r="N30" i="2"/>
  <c r="A31" i="2"/>
  <c r="E31" i="2"/>
  <c r="F31" i="2"/>
  <c r="G31" i="2"/>
  <c r="H31" i="2"/>
  <c r="I31" i="2"/>
  <c r="J31" i="2"/>
  <c r="K31" i="2"/>
  <c r="L31" i="2"/>
  <c r="M31" i="2"/>
  <c r="N31" i="2"/>
  <c r="A32" i="2"/>
  <c r="E32" i="2"/>
  <c r="F32" i="2"/>
  <c r="G32" i="2"/>
  <c r="H32" i="2"/>
  <c r="I32" i="2"/>
  <c r="J32" i="2"/>
  <c r="K32" i="2"/>
  <c r="L32" i="2"/>
  <c r="M32" i="2"/>
  <c r="N32" i="2"/>
  <c r="A33" i="2"/>
  <c r="E33" i="2"/>
  <c r="F33" i="2"/>
  <c r="G33" i="2"/>
  <c r="H33" i="2"/>
  <c r="I33" i="2"/>
  <c r="J33" i="2"/>
  <c r="K33" i="2"/>
  <c r="L33" i="2"/>
  <c r="M33" i="2"/>
  <c r="N33" i="2"/>
  <c r="A34" i="2"/>
  <c r="E34" i="2"/>
  <c r="F34" i="2"/>
  <c r="G34" i="2"/>
  <c r="H34" i="2"/>
  <c r="I34" i="2"/>
  <c r="J34" i="2"/>
  <c r="K34" i="2"/>
  <c r="L34" i="2"/>
  <c r="M34" i="2"/>
  <c r="N34" i="2"/>
  <c r="A35" i="2"/>
  <c r="E35" i="2"/>
  <c r="F35" i="2"/>
  <c r="G35" i="2"/>
  <c r="H35" i="2"/>
  <c r="I35" i="2"/>
  <c r="J35" i="2"/>
  <c r="K35" i="2"/>
  <c r="L35" i="2"/>
  <c r="M35" i="2"/>
  <c r="N35" i="2"/>
  <c r="A36" i="2"/>
  <c r="E36" i="2"/>
  <c r="F36" i="2"/>
  <c r="G36" i="2"/>
  <c r="H36" i="2"/>
  <c r="I36" i="2"/>
  <c r="J36" i="2"/>
  <c r="K36" i="2"/>
  <c r="L36" i="2"/>
  <c r="M36" i="2"/>
  <c r="N36" i="2"/>
  <c r="A37" i="2"/>
  <c r="E37" i="2"/>
  <c r="F37" i="2"/>
  <c r="G37" i="2"/>
  <c r="H37" i="2"/>
  <c r="I37" i="2"/>
  <c r="J37" i="2"/>
  <c r="K37" i="2"/>
  <c r="L37" i="2"/>
  <c r="M37" i="2"/>
  <c r="N37" i="2"/>
  <c r="A38" i="2"/>
  <c r="E38" i="2"/>
  <c r="F38" i="2"/>
  <c r="G38" i="2"/>
  <c r="H38" i="2"/>
  <c r="I38" i="2"/>
  <c r="J38" i="2"/>
  <c r="K38" i="2"/>
  <c r="L38" i="2"/>
  <c r="M38" i="2"/>
  <c r="N38" i="2"/>
  <c r="A39" i="2"/>
  <c r="E39" i="2"/>
  <c r="F39" i="2"/>
  <c r="G39" i="2"/>
  <c r="H39" i="2"/>
  <c r="I39" i="2"/>
  <c r="J39" i="2"/>
  <c r="K39" i="2"/>
  <c r="L39" i="2"/>
  <c r="M39" i="2"/>
  <c r="N39" i="2"/>
  <c r="A40" i="2"/>
  <c r="E40" i="2"/>
  <c r="F40" i="2"/>
  <c r="G40" i="2"/>
  <c r="H40" i="2"/>
  <c r="I40" i="2"/>
  <c r="J40" i="2"/>
  <c r="K40" i="2"/>
  <c r="L40" i="2"/>
  <c r="M40" i="2"/>
  <c r="N40" i="2"/>
  <c r="A41" i="2"/>
  <c r="B41" i="2"/>
  <c r="E41" i="2"/>
  <c r="F41" i="2"/>
  <c r="G41" i="2"/>
  <c r="H41" i="2"/>
  <c r="I41" i="2"/>
  <c r="J41" i="2"/>
  <c r="K41" i="2"/>
  <c r="L41" i="2"/>
  <c r="M41" i="2"/>
  <c r="N41" i="2"/>
  <c r="A42" i="2"/>
  <c r="E42" i="2"/>
  <c r="F42" i="2"/>
  <c r="G42" i="2"/>
  <c r="H42" i="2"/>
  <c r="I42" i="2"/>
  <c r="J42" i="2"/>
  <c r="K42" i="2"/>
  <c r="L42" i="2"/>
  <c r="M42" i="2"/>
  <c r="N42" i="2"/>
  <c r="A43" i="2"/>
  <c r="E43" i="2"/>
  <c r="F43" i="2"/>
  <c r="G43" i="2"/>
  <c r="H43" i="2"/>
  <c r="I43" i="2"/>
  <c r="J43" i="2"/>
  <c r="K43" i="2"/>
  <c r="L43" i="2"/>
  <c r="M43" i="2"/>
  <c r="N43" i="2"/>
  <c r="A44" i="2"/>
  <c r="E44" i="2"/>
  <c r="F44" i="2"/>
  <c r="G44" i="2"/>
  <c r="H44" i="2"/>
  <c r="I44" i="2"/>
  <c r="J44" i="2"/>
  <c r="K44" i="2"/>
  <c r="L44" i="2"/>
  <c r="M44" i="2"/>
  <c r="N44" i="2"/>
  <c r="A45" i="2"/>
  <c r="E45" i="2"/>
  <c r="F45" i="2"/>
  <c r="G45" i="2"/>
  <c r="H45" i="2"/>
  <c r="I45" i="2"/>
  <c r="J45" i="2"/>
  <c r="K45" i="2"/>
  <c r="L45" i="2"/>
  <c r="M45" i="2"/>
  <c r="N45" i="2"/>
  <c r="A46" i="2"/>
  <c r="E46" i="2"/>
  <c r="F46" i="2"/>
  <c r="G46" i="2"/>
  <c r="H46" i="2"/>
  <c r="I46" i="2"/>
  <c r="J46" i="2"/>
  <c r="K46" i="2"/>
  <c r="L46" i="2"/>
  <c r="M46" i="2"/>
  <c r="N46" i="2"/>
  <c r="A47" i="2"/>
  <c r="E47" i="2"/>
  <c r="F47" i="2"/>
  <c r="G47" i="2"/>
  <c r="H47" i="2"/>
  <c r="I47" i="2"/>
  <c r="J47" i="2"/>
  <c r="K47" i="2"/>
  <c r="L47" i="2"/>
  <c r="M47" i="2"/>
  <c r="N47" i="2"/>
  <c r="A48" i="2"/>
  <c r="E48" i="2"/>
  <c r="F48" i="2"/>
  <c r="G48" i="2"/>
  <c r="H48" i="2"/>
  <c r="I48" i="2"/>
  <c r="J48" i="2"/>
  <c r="K48" i="2"/>
  <c r="L48" i="2"/>
  <c r="M48" i="2"/>
  <c r="N48" i="2"/>
  <c r="A49" i="2"/>
  <c r="E49" i="2"/>
  <c r="F49" i="2"/>
  <c r="G49" i="2"/>
  <c r="H49" i="2"/>
  <c r="I49" i="2"/>
  <c r="J49" i="2"/>
  <c r="K49" i="2"/>
  <c r="L49" i="2"/>
  <c r="M49" i="2"/>
  <c r="N49" i="2"/>
  <c r="A50" i="2"/>
  <c r="E50" i="2"/>
  <c r="F50" i="2"/>
  <c r="G50" i="2"/>
  <c r="H50" i="2"/>
  <c r="I50" i="2"/>
  <c r="J50" i="2"/>
  <c r="K50" i="2"/>
  <c r="L50" i="2"/>
  <c r="M50" i="2"/>
  <c r="N50" i="2"/>
  <c r="A51" i="2"/>
  <c r="B51" i="2"/>
  <c r="C51" i="2"/>
  <c r="E51" i="2"/>
  <c r="F51" i="2"/>
  <c r="G51" i="2"/>
  <c r="H51" i="2"/>
  <c r="I51" i="2"/>
  <c r="J51" i="2"/>
  <c r="K51" i="2"/>
  <c r="L51" i="2"/>
  <c r="M51" i="2"/>
  <c r="N51" i="2"/>
  <c r="A52" i="2"/>
  <c r="E52" i="2"/>
  <c r="F52" i="2"/>
  <c r="G52" i="2"/>
  <c r="H52" i="2"/>
  <c r="I52" i="2"/>
  <c r="J52" i="2"/>
  <c r="K52" i="2"/>
  <c r="L52" i="2"/>
  <c r="M52" i="2"/>
  <c r="N52" i="2"/>
  <c r="A53" i="2"/>
  <c r="E53" i="2"/>
  <c r="F53" i="2"/>
  <c r="G53" i="2"/>
  <c r="H53" i="2"/>
  <c r="I53" i="2"/>
  <c r="J53" i="2"/>
  <c r="K53" i="2"/>
  <c r="L53" i="2"/>
  <c r="M53" i="2"/>
  <c r="N53" i="2"/>
  <c r="A54" i="2"/>
  <c r="E54" i="2"/>
  <c r="F54" i="2"/>
  <c r="G54" i="2"/>
  <c r="H54" i="2"/>
  <c r="I54" i="2"/>
  <c r="J54" i="2"/>
  <c r="K54" i="2"/>
  <c r="L54" i="2"/>
  <c r="M54" i="2"/>
  <c r="N54" i="2"/>
  <c r="A55" i="2"/>
  <c r="E55" i="2"/>
  <c r="F55" i="2"/>
  <c r="G55" i="2"/>
  <c r="H55" i="2"/>
  <c r="I55" i="2"/>
  <c r="J55" i="2"/>
  <c r="K55" i="2"/>
  <c r="L55" i="2"/>
  <c r="M55" i="2"/>
  <c r="N55" i="2"/>
  <c r="A56" i="2"/>
  <c r="E56" i="2"/>
  <c r="F56" i="2"/>
  <c r="G56" i="2"/>
  <c r="H56" i="2"/>
  <c r="I56" i="2"/>
  <c r="J56" i="2"/>
  <c r="K56" i="2"/>
  <c r="L56" i="2"/>
  <c r="M56" i="2"/>
  <c r="N56" i="2"/>
  <c r="A57" i="2"/>
  <c r="E57" i="2"/>
  <c r="F57" i="2"/>
  <c r="G57" i="2"/>
  <c r="H57" i="2"/>
  <c r="I57" i="2"/>
  <c r="J57" i="2"/>
  <c r="K57" i="2"/>
  <c r="L57" i="2"/>
  <c r="M57" i="2"/>
  <c r="N57" i="2"/>
  <c r="D64" i="2"/>
  <c r="D65" i="2"/>
  <c r="D89" i="1"/>
  <c r="D90" i="1"/>
  <c r="D9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Barnabas Minja</author>
  </authors>
  <commentList>
    <comment ref="K5" authorId="0" shapeId="0" xr:uid="{EC314CEF-3448-4DC9-BCBB-5E20D20DF367}">
      <text>
        <r>
          <rPr>
            <b/>
            <sz val="9"/>
            <color indexed="81"/>
            <rFont val="Tahoma"/>
            <charset val="1"/>
          </rPr>
          <t>Officially "NO CAA Processing Fees" for issuance of Algeria overflight permits; valid +72 hrs; nav bill issued direct to operator; requires at least 2 working days prior to departure. Source: UCAS (UNOFFICIAL trip-support broker), https://www.ucas.com.sa/en/overflight-permits/10</t>
        </r>
      </text>
    </comment>
    <comment ref="K6" authorId="0" shapeId="0" xr:uid="{B2FCED55-0DAC-4A02-BB82-55DBC65D40FF}">
      <text>
        <r>
          <rPr>
            <b/>
            <sz val="9"/>
            <color indexed="81"/>
            <rFont val="Tahoma"/>
            <charset val="1"/>
          </rPr>
          <t>Barnabas Minja:</t>
        </r>
        <r>
          <rPr>
            <sz val="9"/>
            <color indexed="81"/>
            <rFont val="Tahoma"/>
            <charset val="1"/>
          </rPr>
          <t xml:space="preserve">
Officially "NO CAA Processing Fees" for issuance of Angola overflight permits; valid +72 hrs; overflight and landing permits each require at least 3 working days prior to departure; issuing authority INAVIC/NICA Luanda. Source: Flytag / VarnaJet (UNOFFICIAL trip-support brokers), https://flytag.co/locations/africa/angola-overflight-and-landing-permits.html</t>
        </r>
      </text>
    </comment>
    <comment ref="K7" authorId="0" shapeId="0" xr:uid="{07190394-6BD3-4CA6-ABB1-16B0171F8B75}">
      <text>
        <r>
          <rPr>
            <b/>
            <sz val="9"/>
            <color indexed="81"/>
            <rFont val="Tahoma"/>
            <charset val="1"/>
          </rPr>
          <t>Barnabas Minja:</t>
        </r>
        <r>
          <rPr>
            <sz val="9"/>
            <color indexed="81"/>
            <rFont val="Tahoma"/>
            <charset val="1"/>
          </rPr>
          <t xml:space="preserve">
ANAC requires a processing fee of USD 120 for issuance of Benin overflight permits; valid +72 hrs; nav bill via ASECNA. Source: UCAS / Just Aviation (UNOFFICIAL trip-support brokers), https://www.ucas.com.sa/en/overflight-permits/12 ; https://justaviation.aero/flight-permits/benin/</t>
        </r>
      </text>
    </comment>
    <comment ref="L7" authorId="0" shapeId="0" xr:uid="{7CEADF99-3042-4FAA-A439-3591E5E5B272}">
      <text>
        <r>
          <rPr>
            <b/>
            <sz val="9"/>
            <color indexed="81"/>
            <rFont val="Tahoma"/>
            <charset val="1"/>
          </rPr>
          <t>Barnabas Minja:</t>
        </r>
        <r>
          <rPr>
            <sz val="9"/>
            <color indexed="81"/>
            <rFont val="Tahoma"/>
            <charset val="1"/>
          </rPr>
          <t xml:space="preserve">
ANAC imposes a processing fee of USD 120 for Benin landing permits; requests must be submitted at least 72 hrs before the scheduled date, working days Mon-Fri only. Source: Just Aviation (UNOFFICIAL trip-support broker), https://justaviation.aero/flight-permits/benin/</t>
        </r>
      </text>
    </comment>
    <comment ref="K8" authorId="0" shapeId="0" xr:uid="{7CFC1C15-B16E-4180-B6E0-831945F255B1}">
      <text>
        <r>
          <rPr>
            <b/>
            <sz val="9"/>
            <color indexed="81"/>
            <rFont val="Tahoma"/>
            <charset val="1"/>
          </rPr>
          <t>Barnabas Minja:</t>
        </r>
        <r>
          <rPr>
            <sz val="9"/>
            <color indexed="81"/>
            <rFont val="Tahoma"/>
            <charset val="1"/>
          </rPr>
          <t xml:space="preserve">
Officially "NO CAA Processing Fees" for issuance of Botswana overflight permits; valid +72 hrs; nav bill issued direct to operator. Source: Flytag (UNOFFICIAL trip-support broker), https://flytag.co/locations/africa/botswana-overflight-and-landing-permits.html</t>
        </r>
      </text>
    </comment>
    <comment ref="K9" authorId="0" shapeId="0" xr:uid="{E0EA1ACE-F933-4F14-B6B4-FFD207F8FB81}">
      <text>
        <r>
          <rPr>
            <b/>
            <sz val="9"/>
            <color indexed="81"/>
            <rFont val="Tahoma"/>
            <charset val="1"/>
          </rPr>
          <t>Barnabas Minja:</t>
        </r>
        <r>
          <rPr>
            <sz val="9"/>
            <color indexed="81"/>
            <rFont val="Tahoma"/>
            <charset val="1"/>
          </rPr>
          <t xml:space="preserve">
Officially "NO CAA Processing Fees" for issuance of Burkina Faso overflight permits; valid +72 hrs; nav bill via ASECNA; apply at least 48 working hrs before departure. Source: UCAS (UNOFFICIAL trip-support broker), https://www.ucas.com.sa/en/overflight-permits/14</t>
        </r>
      </text>
    </comment>
    <comment ref="K10" authorId="0" shapeId="0" xr:uid="{0CABF112-1A75-45FF-A685-E403B407AC8C}">
      <text>
        <r>
          <rPr>
            <b/>
            <sz val="9"/>
            <color indexed="81"/>
            <rFont val="Tahoma"/>
            <charset val="1"/>
          </rPr>
          <t>Barnabas Minja:</t>
        </r>
        <r>
          <rPr>
            <sz val="9"/>
            <color indexed="81"/>
            <rFont val="Tahoma"/>
            <charset val="1"/>
          </rPr>
          <t xml:space="preserve">
Officially "50 USD CAA Processing Fees" applied for issuance of Burundi overflight permits; valid +72 hrs; AACB issues nav bill directly to the company submitting the request. Source: UCAS (UNOFFICIAL trip-support broker), https://www.ucas.com.sa/en/overflight-permits/13 ; corroborated by Flytag, https://flytag.co/locations/africa/burundi-overflight-and-landing-permits.html</t>
        </r>
      </text>
    </comment>
    <comment ref="K11" authorId="0" shapeId="0" xr:uid="{8777CAD6-73F4-41B3-9086-5A535785787D}">
      <text>
        <r>
          <rPr>
            <b/>
            <sz val="9"/>
            <color indexed="81"/>
            <rFont val="Tahoma"/>
            <charset val="1"/>
          </rPr>
          <t>Barnabas Minja:</t>
        </r>
        <r>
          <rPr>
            <sz val="9"/>
            <color indexed="81"/>
            <rFont val="Tahoma"/>
            <charset val="1"/>
          </rPr>
          <t xml:space="preserve">
Officially "NO CAA Processing Fees" for issuance of Cabo Verde overflight permits; valid +72 hrs; navigation charges still apply and are billed via IATA. Landing permit needed 72 working hrs in advance for airports other than GVAC (Sal) or GVNP (Praia). Source: UCAS (UNOFFICIAL trip-support broker), https://www.ucas.com.sa/en/overflight-permits/16 ; Just Aviation, https://justaviation.aero/flight-permits/cape-verde-islands/</t>
        </r>
      </text>
    </comment>
    <comment ref="K12" authorId="0" shapeId="0" xr:uid="{96E8E7B9-11BD-46A1-8C5A-5310FF428308}">
      <text>
        <r>
          <rPr>
            <b/>
            <sz val="9"/>
            <color indexed="81"/>
            <rFont val="Tahoma"/>
            <charset val="1"/>
          </rPr>
          <t>Barnabas Minja:</t>
        </r>
        <r>
          <rPr>
            <sz val="9"/>
            <color indexed="81"/>
            <rFont val="Tahoma"/>
            <charset val="1"/>
          </rPr>
          <t xml:space="preserve">
There is no CAA processing fee to obtain the permit for Cameroon; apply preferably 3 working days before the flight date; permit valid +72 hrs. Source: VarnaJet (UNOFFICIAL trip-support broker), https://www.varnajet.com/post/cameroon-overflight-and-landing-permits</t>
        </r>
      </text>
    </comment>
    <comment ref="P12" authorId="0" shapeId="0" xr:uid="{35B8A856-022C-43CD-BFC7-B9C16EFE827E}">
      <text>
        <r>
          <rPr>
            <b/>
            <sz val="9"/>
            <color indexed="81"/>
            <rFont val="Tahoma"/>
            <charset val="1"/>
          </rPr>
          <t>Barnabas Minja:</t>
        </r>
        <r>
          <rPr>
            <sz val="9"/>
            <color indexed="81"/>
            <rFont val="Tahoma"/>
            <charset val="1"/>
          </rPr>
          <t xml:space="preserve">
The CCAA imposes a development license fee of 15,000 FCFA per aircraft and 10,000 FCFA per passenger, with exemptions for United Nations aircraft. Source: Just Aviation (UNOFFICIAL trip-support broker), https://justaviation.aero/flight-permits/cameroon/</t>
        </r>
      </text>
    </comment>
    <comment ref="K13" authorId="0" shapeId="0" xr:uid="{8634CCB1-758E-43D5-AF9F-A22F9BE91DAB}">
      <text>
        <r>
          <rPr>
            <b/>
            <sz val="9"/>
            <color indexed="81"/>
            <rFont val="Tahoma"/>
            <charset val="1"/>
          </rPr>
          <t>Barnabas Minja:</t>
        </r>
        <r>
          <rPr>
            <sz val="9"/>
            <color indexed="81"/>
            <rFont val="Tahoma"/>
            <charset val="1"/>
          </rPr>
          <t xml:space="preserve">
Standard Overflight Permit filed 72 hrs before departure = EUR 72 per leg; Urgent (24 hrs) = EUR 228 per leg; Top Urgent (1 hr) = EUR 440 per leg. Validity +24 hrs. ANAC Bangui; nav bill via ASECNA. NOTE: broker pages label this "Central Africa" and quote FIR FCCC, but the issuing authority given is ANAC Bangui (BP 941, Bangui) and airport FEFF/BGF - i.e. Central African Republic. Verify before relying on it. Source: Just Aviation (UNOFFICIAL trip-support broker), https://justaviation.aero/flight-permits/central-african-republic/ ; JetStream International, https://www.jsid.aero/locations/Central%20Africa/Central-Africa-overflight.html</t>
        </r>
      </text>
    </comment>
    <comment ref="K14" authorId="0" shapeId="0" xr:uid="{44986ABD-268D-466F-9BFD-731593E366A9}">
      <text>
        <r>
          <rPr>
            <b/>
            <sz val="9"/>
            <color indexed="81"/>
            <rFont val="Tahoma"/>
            <charset val="1"/>
          </rPr>
          <t>Barnabas Minja:</t>
        </r>
        <r>
          <rPr>
            <sz val="9"/>
            <color indexed="81"/>
            <rFont val="Tahoma"/>
            <charset val="1"/>
          </rPr>
          <t xml:space="preserve">
Officially "NO CAA Processing Fees" for issuance of Chad overflight permits; permit valid +72 hrs. Source: Flytag (UNOFFICIAL trip-support broker), https://flytag.co/locations/africa/chad-overflight-and-landing-permits.html</t>
        </r>
      </text>
    </comment>
    <comment ref="K15" authorId="0" shapeId="0" xr:uid="{35598E98-D7EB-4109-BE99-5E5564650335}">
      <text>
        <r>
          <rPr>
            <b/>
            <sz val="9"/>
            <color indexed="81"/>
            <rFont val="Tahoma"/>
            <charset val="1"/>
          </rPr>
          <t>Barnabas Minja:</t>
        </r>
        <r>
          <rPr>
            <sz val="9"/>
            <color indexed="81"/>
            <rFont val="Tahoma"/>
            <charset val="1"/>
          </rPr>
          <t xml:space="preserve">
Officially "150 Euro CAA Processing Fees" for issuance of Comoros overflight permits; valid +72 hrs; nav bill via ASECNA; apply at least 48 working hrs before departure (ANACM Moroni). Landing permit request at least 48 working hrs before arrival. Source: UCAS (UNOFFICIAL trip-support broker), https://www.ucas.com.sa/en/overflight-permits/21 ; corroborated by JetStream International, https://www.jsid.aero/locations/Comoros/Comoros-overflight.html</t>
        </r>
      </text>
    </comment>
    <comment ref="K16" authorId="0" shapeId="0" xr:uid="{31D64DEA-4801-4378-B1FA-25A4A1C06EF4}">
      <text>
        <r>
          <rPr>
            <b/>
            <sz val="9"/>
            <color indexed="81"/>
            <rFont val="Tahoma"/>
            <charset val="1"/>
          </rPr>
          <t>CORRECTION: the EUR 72 / 228 / 440 per-leg schedule previously shown here comes from broker pages titled "Central Africa", whose stated issuing authority is ANAC Bangui (Central African Republic) - it has been moved to the Central African Republic row. No separate published permit fee was located for the Republic of the Congo (Brazzaville FIR FCCC). Obtain from ANAC Congo or your handler. Nav bill via ASECNA.</t>
        </r>
      </text>
    </comment>
    <comment ref="K17" authorId="0" shapeId="0" xr:uid="{90E44A60-85AB-4DF9-A903-EDA7C9F6383C}">
      <text>
        <r>
          <rPr>
            <b/>
            <sz val="9"/>
            <color indexed="81"/>
            <rFont val="Tahoma"/>
            <charset val="1"/>
          </rPr>
          <t>Barnabas Minja:</t>
        </r>
        <r>
          <rPr>
            <sz val="9"/>
            <color indexed="81"/>
            <rFont val="Tahoma"/>
            <charset val="1"/>
          </rPr>
          <t xml:space="preserve">
Officially "NO CAA Processing Fees" for issuance of DR Congo overflight permits; valid +72 hrs; nav bill issued direct to operator. Source: Flytag (UNOFFICIAL trip-support broker), https://flytag.co/locations/africa/drcongo-overflight-and-landing-permits.html</t>
        </r>
      </text>
    </comment>
    <comment ref="K18" authorId="0" shapeId="0" xr:uid="{48D653B3-BBFD-4BA7-BBD7-68C516128FC3}">
      <text>
        <r>
          <rPr>
            <b/>
            <sz val="9"/>
            <color indexed="81"/>
            <rFont val="Tahoma"/>
            <charset val="1"/>
          </rPr>
          <t>Barnabas Minja:</t>
        </r>
        <r>
          <rPr>
            <sz val="9"/>
            <color indexed="81"/>
            <rFont val="Tahoma"/>
            <charset val="1"/>
          </rPr>
          <t xml:space="preserve">
Officially "200 USD CAA Processing Fees" for issuance of Cote d'Ivoire overflight permits; valid +72 hrs; nav bill via ASECNA. Source: UCAS / Just Aviation (UNOFFICIAL trip-support brokers), https://www.ucas.com.sa/en/overflight-permits/33 ; https://justaviation.aero/flight-permits/cote-divoire/</t>
        </r>
      </text>
    </comment>
    <comment ref="K19" authorId="0" shapeId="0" xr:uid="{83B97A0F-CD2F-46D9-8443-1807CB2F39B0}">
      <text>
        <r>
          <rPr>
            <b/>
            <sz val="9"/>
            <color indexed="81"/>
            <rFont val="Tahoma"/>
            <charset val="1"/>
          </rPr>
          <t>Barnabas Minja:</t>
        </r>
        <r>
          <rPr>
            <sz val="9"/>
            <color indexed="81"/>
            <rFont val="Tahoma"/>
            <charset val="1"/>
          </rPr>
          <t xml:space="preserve">
Officially "NO CAA Processing Fees" for issuance of Djibouti overflight permits; valid +72 hrs; nav bill issued direct to operator. Source: UCAS (UNOFFICIAL trip-support broker), https://www.ucas.com.sa/en/overflight-permits/23</t>
        </r>
      </text>
    </comment>
    <comment ref="K20" authorId="0" shapeId="0" xr:uid="{D7A03172-8B3E-4749-A272-FA0CC176DA0C}">
      <text>
        <r>
          <rPr>
            <b/>
            <sz val="9"/>
            <color indexed="81"/>
            <rFont val="Tahoma"/>
            <charset val="1"/>
          </rPr>
          <t>Barnabas Minja:</t>
        </r>
        <r>
          <rPr>
            <sz val="9"/>
            <color indexed="81"/>
            <rFont val="Tahoma"/>
            <charset val="1"/>
          </rPr>
          <t xml:space="preserve">
Egypt overflight permit valid 24 hours with no fee. Source: JustAviation (UNOFFICIAL trip-support broker), https://justaviation.aero/african-countries-overflight-permit/</t>
        </r>
      </text>
    </comment>
    <comment ref="K21" authorId="0" shapeId="0" xr:uid="{DD0056F5-4F83-4A7B-89CE-7CDD8BF69E4C}">
      <text>
        <r>
          <rPr>
            <b/>
            <sz val="9"/>
            <color indexed="81"/>
            <rFont val="Tahoma"/>
            <charset val="1"/>
          </rPr>
          <t>Barnabas Minja:</t>
        </r>
        <r>
          <rPr>
            <sz val="9"/>
            <color indexed="81"/>
            <rFont val="Tahoma"/>
            <charset val="1"/>
          </rPr>
          <t xml:space="preserve">
Officially "NO CAA Processing Fees" for issuance of Equatorial Guinea overflight permits; valid +72 hrs; nav bill via ASECNA. Source: UCAS (UNOFFICIAL trip-support broker), https://www.ucas.com.sa/en/overflight-permits/26</t>
        </r>
      </text>
    </comment>
    <comment ref="K22" authorId="0" shapeId="0" xr:uid="{E12B2E3D-91F9-4DB7-BABF-097A011C8B1A}">
      <text>
        <r>
          <rPr>
            <b/>
            <sz val="9"/>
            <color indexed="81"/>
            <rFont val="Tahoma"/>
            <charset val="1"/>
          </rPr>
          <t>Barnabas Minja:</t>
        </r>
        <r>
          <rPr>
            <sz val="9"/>
            <color indexed="81"/>
            <rFont val="Tahoma"/>
            <charset val="1"/>
          </rPr>
          <t xml:space="preserve">
Officially "NO CAA Processing Fees" for issuance of Eritrea overflight permits; valid +72 hrs. Per AIP-Eritrea GEN 4.2-1 eff 01-Mar-2021 air navigation charges are based on MTOW in the C of A. Source: Flytag (UNOFFICIAL trip-support broker), https://flytag.co/locations/africa/eritrea-overflight-and-landing-permits.html</t>
        </r>
      </text>
    </comment>
    <comment ref="K23" authorId="0" shapeId="0" xr:uid="{BEF266DB-2339-4887-8060-6FE84F4CA30F}">
      <text>
        <r>
          <rPr>
            <b/>
            <sz val="9"/>
            <color indexed="81"/>
            <rFont val="Tahoma"/>
            <charset val="1"/>
          </rPr>
          <t>Barnabas Minja:</t>
        </r>
        <r>
          <rPr>
            <sz val="9"/>
            <color indexed="81"/>
            <rFont val="Tahoma"/>
            <charset val="1"/>
          </rPr>
          <t xml:space="preserve">
Officially "NO CAA Processing Fees" for issuance of Eswatini (Swaziland) overflight permits; valid +72 hrs; ESWACAA issues nav bill to the company submitting the request. No official processing fee for overflight permits, but landing permit fees should be confirmed direct with the CAA. Source: Flytag (UNOFFICIAL trip-support broker), https://flytag.co/locations/africa/swaziland-overflight-and-landing-permits.html</t>
        </r>
      </text>
    </comment>
    <comment ref="K24" authorId="0" shapeId="0" xr:uid="{253DFB75-F684-4B60-ACC8-FF0E0652ED80}">
      <text>
        <r>
          <rPr>
            <b/>
            <sz val="9"/>
            <color indexed="81"/>
            <rFont val="Tahoma"/>
            <charset val="1"/>
          </rPr>
          <t>Barnabas Minja:</t>
        </r>
        <r>
          <rPr>
            <sz val="9"/>
            <color indexed="81"/>
            <rFont val="Tahoma"/>
            <charset val="1"/>
          </rPr>
          <t xml:space="preserve">
Officially "40 USD CAA Processing Fees" for issuance of Ethiopia overflight permits; valid +72 hrs; ECAA issues nav bill direct to the company submitting the request. Source: UCAS (UNOFFICIAL trip-support broker), https://www.ucas.com.sa/en/overflight-permits/27</t>
        </r>
      </text>
    </comment>
    <comment ref="K25" authorId="0" shapeId="0" xr:uid="{7DDACC3F-61BB-4D27-9A81-253D4268E10D}">
      <text>
        <r>
          <rPr>
            <b/>
            <sz val="9"/>
            <color indexed="81"/>
            <rFont val="Tahoma"/>
            <charset val="1"/>
          </rPr>
          <t>Barnabas Minja:</t>
        </r>
        <r>
          <rPr>
            <sz val="9"/>
            <color indexed="81"/>
            <rFont val="Tahoma"/>
            <charset val="1"/>
          </rPr>
          <t xml:space="preserve">
Officially "275 USD CAA Processing Fees" for issuance of Gabon overflight permits; valid +48 hrs; nav bill via ASECNA. Source: UCAS (UNOFFICIAL trip-support broker), https://ucas.com.sa/en/overflight-permits/28 ; corroborated by Airways Flight Support, https://airwaysfs.co/flight-support/gabon/</t>
        </r>
      </text>
    </comment>
    <comment ref="K26" authorId="0" shapeId="0" xr:uid="{99892712-E0A7-4A0A-9A3A-CD72DDFC1524}">
      <text>
        <r>
          <rPr>
            <b/>
            <sz val="9"/>
            <color indexed="81"/>
            <rFont val="Tahoma"/>
            <charset val="1"/>
          </rPr>
          <t>Barnabas Minja:</t>
        </r>
        <r>
          <rPr>
            <sz val="9"/>
            <color indexed="81"/>
            <rFont val="Tahoma"/>
            <charset val="1"/>
          </rPr>
          <t xml:space="preserve">
Officially "NO CAA Processing Fees" for issuance of Gambia overflight permits; valid +72 hrs; nav bill direct to operator. GCAA (official): all non-scheduled flights into, from or over The Gambia must obtain a permit at least 72 hours before the intended flight, applied via https://portal.gcaa.aero/. Fee source: Flytag (UNOFFICIAL trip-support broker), https://flytag.co/locations/africa/gambia-overflight-and-landing-permits.html ; lead time source: Gambia CAA (official), https://gcaa.aero/services/permits-authorisations/</t>
        </r>
      </text>
    </comment>
    <comment ref="K27" authorId="0" shapeId="0" xr:uid="{3E5086EA-EEF4-45FB-A011-C0CEAF127B08}">
      <text>
        <r>
          <rPr>
            <b/>
            <sz val="9"/>
            <color indexed="81"/>
            <rFont val="Tahoma"/>
            <charset val="1"/>
          </rPr>
          <t>Barnabas Minja:</t>
        </r>
        <r>
          <rPr>
            <sz val="9"/>
            <color indexed="81"/>
            <rFont val="Tahoma"/>
            <charset val="1"/>
          </rPr>
          <t xml:space="preserve">
USD 150 processing fee submitted via the Ghana CAA portal; overflight and landing permits must be filed at least two days before arrival. Source: JustAviation (UNOFFICIAL trip-support broker), https://justaviation.aero/african-countries-overflight-permit/</t>
        </r>
      </text>
    </comment>
    <comment ref="L27" authorId="0" shapeId="0" xr:uid="{667D5144-C204-4C99-AD6B-C75A57A258B6}">
      <text>
        <r>
          <rPr>
            <b/>
            <sz val="9"/>
            <color indexed="81"/>
            <rFont val="Tahoma"/>
            <charset val="1"/>
          </rPr>
          <t>Barnabas Minja:</t>
        </r>
        <r>
          <rPr>
            <sz val="9"/>
            <color indexed="81"/>
            <rFont val="Tahoma"/>
            <charset val="1"/>
          </rPr>
          <t xml:space="preserve">
USD 150 processing fee submitted via the Ghana CAA portal. Source: JustAviation (UNOFFICIAL trip-support broker), https://justaviation.aero/african-countries-overflight-permit/</t>
        </r>
      </text>
    </comment>
    <comment ref="K28" authorId="0" shapeId="0" xr:uid="{E257B489-62CA-4177-A536-9276F439F67C}">
      <text>
        <r>
          <rPr>
            <b/>
            <sz val="9"/>
            <color indexed="81"/>
            <rFont val="Tahoma"/>
            <charset val="1"/>
          </rPr>
          <t>Barnabas Minja:</t>
        </r>
        <r>
          <rPr>
            <sz val="9"/>
            <color indexed="81"/>
            <rFont val="Tahoma"/>
            <charset val="1"/>
          </rPr>
          <t xml:space="preserve">
Officially "NO CAA Processing Fees" for issuance of Guinea overflight permits; valid +72 hrs; nav bill via ASECNA. Conakry FIR GLRB. Source: UCAS (UNOFFICIAL trip-support broker), https://www.ucas.com.sa/en/overflight-permits/31</t>
        </r>
      </text>
    </comment>
    <comment ref="K29" authorId="0" shapeId="0" xr:uid="{E8728158-5345-4A86-9BEE-EFEC91D8D128}">
      <text>
        <r>
          <rPr>
            <b/>
            <sz val="9"/>
            <color indexed="81"/>
            <rFont val="Tahoma"/>
            <charset val="1"/>
          </rPr>
          <t>Barnabas Minja:</t>
        </r>
        <r>
          <rPr>
            <sz val="9"/>
            <color indexed="81"/>
            <rFont val="Tahoma"/>
            <charset val="1"/>
          </rPr>
          <t xml:space="preserve">
Officially "NO CAA Processing Fees" for issuance of Guinea-Bissau overflight permits; valid +72 hrs; nav bill via ASECNA. Source: UCAS (UNOFFICIAL trip-support broker), https://www.ucas.com.sa/en/overflight-permits/32</t>
        </r>
      </text>
    </comment>
    <comment ref="K30" authorId="0" shapeId="0" xr:uid="{977BD9A1-28D4-4735-BF8B-DA02C17305E6}">
      <text>
        <r>
          <rPr>
            <b/>
            <sz val="9"/>
            <color indexed="81"/>
            <rFont val="Tahoma"/>
            <charset val="1"/>
          </rPr>
          <t>Barnabas Minja:</t>
        </r>
        <r>
          <rPr>
            <sz val="9"/>
            <color indexed="81"/>
            <rFont val="Tahoma"/>
            <charset val="1"/>
          </rPr>
          <t xml:space="preserve">
Officially "50 USD CAA Processing Fees" for issuance of Kenya overflight permits; valid +72 hrs; KCAA issues nav bill direct to the company submitting the request; apply at least 48 hrs before departure. Source: UCAS (UNOFFICIAL trip-support broker), https://www.ucas.com.sa/en/overflight-permits/34</t>
        </r>
      </text>
    </comment>
    <comment ref="K31" authorId="0" shapeId="0" xr:uid="{9682BC85-6E36-49CE-9F02-37E6A5D938A2}">
      <text>
        <r>
          <rPr>
            <b/>
            <sz val="9"/>
            <color indexed="81"/>
            <rFont val="Tahoma"/>
            <charset val="1"/>
          </rPr>
          <t>Barnabas Minja:</t>
        </r>
        <r>
          <rPr>
            <sz val="9"/>
            <color indexed="81"/>
            <rFont val="Tahoma"/>
            <charset val="1"/>
          </rPr>
          <t xml:space="preserve">
Officially "NO CAA Processing Fees" for issuance of Lesotho overflight permits; valid +72 hrs; nav bill issued direct to operator. Source: Flytag (UNOFFICIAL trip-support broker), https://flytag.co/locations/africa/lesotho-overflight-and-landing-permits.html</t>
        </r>
      </text>
    </comment>
    <comment ref="K32" authorId="0" shapeId="0" xr:uid="{C41AFE19-8DBD-4E75-AF0E-8DD9A7DEA35B}">
      <text>
        <r>
          <rPr>
            <b/>
            <sz val="9"/>
            <color indexed="81"/>
            <rFont val="Tahoma"/>
            <charset val="1"/>
          </rPr>
          <t>Barnabas Minja:</t>
        </r>
        <r>
          <rPr>
            <sz val="9"/>
            <color indexed="81"/>
            <rFont val="Tahoma"/>
            <charset val="1"/>
          </rPr>
          <t xml:space="preserve">
Officially "NO CAA Processing Fees" for issuance of Liberia overflight permits; valid +72 hrs; nav bill issued direct to operator; apply at least 48 working hrs before departure per Liberia AIP. Source: Flytag / JetStream (UNOFFICIAL trip-support brokers), https://flytag.co/locations/africa/liberia-overflight-and-landing-permits.html</t>
        </r>
      </text>
    </comment>
    <comment ref="K33" authorId="0" shapeId="0" xr:uid="{46941F9B-E99E-4AC6-ABC6-4280D8DB26A1}">
      <text>
        <r>
          <rPr>
            <b/>
            <sz val="9"/>
            <color indexed="81"/>
            <rFont val="Tahoma"/>
            <charset val="1"/>
          </rPr>
          <t>Barnabas Minja:</t>
        </r>
        <r>
          <rPr>
            <sz val="9"/>
            <color indexed="81"/>
            <rFont val="Tahoma"/>
            <charset val="1"/>
          </rPr>
          <t xml:space="preserve">
Officially "11 USD CAA Processing Fees" for issuance of Libya overflight permits; permit valid +72 hrs; nav bill issued direct to operator. Source: UCAS (UNOFFICIAL trip-support broker), https://www.ucas.com.sa/en/overflight-permits/36</t>
        </r>
      </text>
    </comment>
    <comment ref="K34" authorId="0" shapeId="0" xr:uid="{5FB41C10-CBDC-4163-8DF8-CEFE0B1832E1}">
      <text>
        <r>
          <rPr>
            <b/>
            <sz val="9"/>
            <color indexed="81"/>
            <rFont val="Tahoma"/>
            <charset val="1"/>
          </rPr>
          <t>Barnabas Minja:</t>
        </r>
        <r>
          <rPr>
            <sz val="9"/>
            <color indexed="81"/>
            <rFont val="Tahoma"/>
            <charset val="1"/>
          </rPr>
          <t xml:space="preserve">
Officially "NO CAA Processing Fees" for issuance of Madagascar overflight permits; valid +72 hrs; nav bill via ASECNA. Source: UCAS (UNOFFICIAL trip-support broker), https://www.ucas.com.sa/en/overflight-permits/106</t>
        </r>
      </text>
    </comment>
    <comment ref="K35" authorId="0" shapeId="0" xr:uid="{732FE95D-6732-4E87-BFD4-2AC42F026DDD}">
      <text>
        <r>
          <rPr>
            <b/>
            <sz val="9"/>
            <color indexed="81"/>
            <rFont val="Tahoma"/>
            <charset val="1"/>
          </rPr>
          <t>Barnabas Minja:</t>
        </r>
        <r>
          <rPr>
            <sz val="9"/>
            <color indexed="81"/>
            <rFont val="Tahoma"/>
            <charset val="1"/>
          </rPr>
          <t xml:space="preserve">
Officially "NO CAA Processing Fees" for issuance of Malawi overflight permits; valid +72 hrs; nav bill issued direct to operator. Source: UCAS (UNOFFICIAL trip-support broker), https://www.ucas.com.sa/en/overflight-permits/107</t>
        </r>
      </text>
    </comment>
    <comment ref="K36" authorId="0" shapeId="0" xr:uid="{DF1E1AB4-1588-43B2-876D-638E09C4243B}">
      <text>
        <r>
          <rPr>
            <b/>
            <sz val="9"/>
            <color indexed="81"/>
            <rFont val="Tahoma"/>
            <charset val="1"/>
          </rPr>
          <t>Barnabas Minja:</t>
        </r>
        <r>
          <rPr>
            <sz val="9"/>
            <color indexed="81"/>
            <rFont val="Tahoma"/>
            <charset val="1"/>
          </rPr>
          <t xml:space="preserve">
Officially "NO CAA Processing Fees" for issuance of Mali overflight permits; valid +72 hrs; nav bill via ASECNA; apply at least 48 working hours before departure. Source: UCAS (UNOFFICIAL trip-support broker), https://www.ucas.com.sa/en/overflight-permits/108</t>
        </r>
      </text>
    </comment>
    <comment ref="K37" authorId="0" shapeId="0" xr:uid="{AC60FE3F-0BE7-4D16-B17F-9F861CBC452F}">
      <text>
        <r>
          <rPr>
            <b/>
            <sz val="9"/>
            <color indexed="81"/>
            <rFont val="Tahoma"/>
            <charset val="1"/>
          </rPr>
          <t>Barnabas Minja:</t>
        </r>
        <r>
          <rPr>
            <sz val="9"/>
            <color indexed="81"/>
            <rFont val="Tahoma"/>
            <charset val="1"/>
          </rPr>
          <t xml:space="preserve">
Officially "NO CAA Processing Fees" for issuance of Mauritania overflight permits; valid +24 hrs only; nav bill via ASECNA. Source: UCAS (UNOFFICIAL trip-support broker), https://www.ucas.com.sa/en/overflight-permits/110</t>
        </r>
      </text>
    </comment>
    <comment ref="K38" authorId="0" shapeId="0" xr:uid="{EC6C1403-CE17-455C-B541-73C28255A761}">
      <text>
        <r>
          <rPr>
            <b/>
            <sz val="9"/>
            <color indexed="81"/>
            <rFont val="Tahoma"/>
            <charset val="1"/>
          </rPr>
          <t>Barnabas Minja:</t>
        </r>
        <r>
          <rPr>
            <sz val="9"/>
            <color indexed="81"/>
            <rFont val="Tahoma"/>
            <charset val="1"/>
          </rPr>
          <t xml:space="preserve">
Officially "NO CAA Processing Fees" for issuance of Mauritius overflight permits; valid +72 hrs; CAA operates 24/7; nav bill issued to the company submitting the request. Source: UCAS (UNOFFICIAL trip-support broker), https://www.ucas.com.sa/en/overflight-permits/109</t>
        </r>
      </text>
    </comment>
    <comment ref="K39" authorId="0" shapeId="0" xr:uid="{68B21E03-5648-4B46-80CC-1292AA6E5F4D}">
      <text>
        <r>
          <rPr>
            <b/>
            <sz val="9"/>
            <color indexed="81"/>
            <rFont val="Tahoma"/>
            <charset val="1"/>
          </rPr>
          <t>Officially "NO CAA Processing Fees" for issuance of Morocco overflight permits; valid +24 hrs; nav bill issued via Eurocontrol. Source: UCAS (UNOFFICIAL trip-support broker), https://www.ucas.com.sa/en/overflight-permits/112</t>
        </r>
      </text>
    </comment>
    <comment ref="K40" authorId="0" shapeId="0" xr:uid="{85F6FDAF-0B83-4FC3-BF27-611C89B1639D}">
      <text>
        <r>
          <rPr>
            <b/>
            <sz val="9"/>
            <color indexed="81"/>
            <rFont val="Tahoma"/>
            <charset val="1"/>
          </rPr>
          <t>Barnabas Minja:</t>
        </r>
        <r>
          <rPr>
            <sz val="9"/>
            <color indexed="81"/>
            <rFont val="Tahoma"/>
            <charset val="1"/>
          </rPr>
          <t xml:space="preserve">
Officially "NO CAA Processing Fees" for issuance of Mozambique overflight permits; valid +72 hrs; apply at least two working days before planned departure. Source: Flytag (UNOFFICIAL trip-support broker), https://flytag.co/locations/africa/mozambique-overflight-and-landing-permits.html</t>
        </r>
      </text>
    </comment>
    <comment ref="K41" authorId="0" shapeId="0" xr:uid="{F6D53683-63BB-4B42-B746-F02B428DC17F}">
      <text>
        <r>
          <rPr>
            <b/>
            <sz val="9"/>
            <color indexed="81"/>
            <rFont val="Tahoma"/>
            <charset val="1"/>
          </rPr>
          <t>Barnabas Minja:</t>
        </r>
        <r>
          <rPr>
            <sz val="9"/>
            <color indexed="81"/>
            <rFont val="Tahoma"/>
            <charset val="1"/>
          </rPr>
          <t xml:space="preserve">
Officially "NO CAA Processing Fees" for issuance of Namibia overflight permits; valid +72 hrs; nav bill issued direct to operator. NCAA still requires confirmation that all applicable air navigation charges and outstanding fees are settled. Source: UCAS (UNOFFICIAL trip-support broker), https://www.ucas.com.sa/en/overflight-permits/113</t>
        </r>
      </text>
    </comment>
    <comment ref="K42" authorId="0" shapeId="0" xr:uid="{63424BCC-0F10-4878-95BB-7E360E238E85}">
      <text>
        <r>
          <rPr>
            <b/>
            <sz val="9"/>
            <color indexed="81"/>
            <rFont val="Tahoma"/>
            <charset val="1"/>
          </rPr>
          <t>Barnabas Minja:</t>
        </r>
        <r>
          <rPr>
            <sz val="9"/>
            <color indexed="81"/>
            <rFont val="Tahoma"/>
            <charset val="1"/>
          </rPr>
          <t xml:space="preserve">
Officially "70 EUR CAA Processing Fees" for issuance of Niger overflight permits; permit valid +24 hrs; nav bill via ASECNA. Source: UCAS (UNOFFICIAL trip-support broker), https://www.ucas.com.sa/en/overflight-permits/114</t>
        </r>
      </text>
    </comment>
    <comment ref="K43" authorId="0" shapeId="0" xr:uid="{8DD2026F-7AEA-4C5B-895B-6B8A878CB834}">
      <text>
        <r>
          <rPr>
            <b/>
            <sz val="9"/>
            <color indexed="81"/>
            <rFont val="Tahoma"/>
            <charset val="1"/>
          </rPr>
          <t>Barnabas Minja:</t>
        </r>
        <r>
          <rPr>
            <sz val="9"/>
            <color indexed="81"/>
            <rFont val="Tahoma"/>
            <charset val="1"/>
          </rPr>
          <t xml:space="preserve">
Officially "NO CAA Processing Fees" for issuance of Nigeria overflight permits; permit valid +48 hrs; nav bill via IATA. Source: UCAS (UNOFFICIAL trip-support broker), https://www.ucas.com.sa/en/overflight-permits/115</t>
        </r>
      </text>
    </comment>
    <comment ref="K44" authorId="0" shapeId="0" xr:uid="{14EB48E8-0E05-42C1-8E1B-D0D0617F49F5}">
      <text>
        <r>
          <rPr>
            <b/>
            <sz val="9"/>
            <color indexed="81"/>
            <rFont val="Tahoma"/>
            <charset val="1"/>
          </rPr>
          <t>Barnabas Minja:</t>
        </r>
        <r>
          <rPr>
            <sz val="9"/>
            <color indexed="81"/>
            <rFont val="Tahoma"/>
            <charset val="1"/>
          </rPr>
          <t xml:space="preserve">
CONFLICTING SOURCES. Brokers state no CAA processing fee, permit valid +72 hrs, 2 working days lead, nav bill via IATA - Source: JustAviation (UNOFFICIAL), https://justaviation.aero/flight-permits/rwanda/. HOWEVER the official RCAA Overflight &amp; Landing Clearance application form states "This application form should be accompanied by a proof of payment. No application will be processed without payment of the prescribed charges (refer to the Appendix for schedule of charges)" and requires minimum 3 days before approval - Source: Rwanda CAA application form, https://www.airportdata.com/portals/0/docs/Flight%20Permit%20Forms/Rwanda_Overflight_and_Landing_Clearance.pdf. Confirm current RCAA schedule of charges at https://www.caa.gov.rw</t>
        </r>
      </text>
    </comment>
    <comment ref="K45" authorId="0" shapeId="0" xr:uid="{60040BB0-DDB5-4956-84B8-D28B500FA83C}">
      <text>
        <r>
          <rPr>
            <b/>
            <sz val="9"/>
            <color indexed="81"/>
            <rFont val="Tahoma"/>
            <charset val="1"/>
          </rPr>
          <t>Barnabas Minja:</t>
        </r>
        <r>
          <rPr>
            <sz val="9"/>
            <color indexed="81"/>
            <rFont val="Tahoma"/>
            <charset val="1"/>
          </rPr>
          <t xml:space="preserve">
Officially "115 USD CAA Processing Fees" for issuance of Sao Tome overflight permits; valid +72 hrs; nav bill issued direct to the requesting company. CONFLICTING BROKER FIGURES: Flytag's FPST/TMS page states USD 209 and JetStream states USD 5,000 (the latter looks like a data error). Verify with INAC before quoting. Sources: Flytag + JustAviation (UNOFFICIAL trip-support brokers), https://flytag.co/locations/africa/sao-tome-overflight-and-landing-permits.html ; https://justaviation.aero/flight-permits/sao-tome-and-principe/</t>
        </r>
      </text>
    </comment>
    <comment ref="K46" authorId="0" shapeId="0" xr:uid="{2534FF84-FAD0-4D40-8F9E-5218F7AF89E6}">
      <text>
        <r>
          <rPr>
            <b/>
            <sz val="9"/>
            <color indexed="81"/>
            <rFont val="Tahoma"/>
            <charset val="1"/>
          </rPr>
          <t>Barnabas Minja:</t>
        </r>
        <r>
          <rPr>
            <sz val="9"/>
            <color indexed="81"/>
            <rFont val="Tahoma"/>
            <charset val="1"/>
          </rPr>
          <t xml:space="preserve">
Officially "NO CAA Processing Fees" for issuance of Senegal overflight permits; valid +72 hrs; nav bill via ASECNA. Source: UCAS (UNOFFICIAL trip-support broker), https://www.ucas.com.sa/en/overflight-permits/119</t>
        </r>
      </text>
    </comment>
    <comment ref="K47" authorId="0" shapeId="0" xr:uid="{B990AE0D-D61C-4298-8520-BA5567DEC7EF}">
      <text>
        <r>
          <rPr>
            <b/>
            <sz val="9"/>
            <color indexed="81"/>
            <rFont val="Tahoma"/>
            <charset val="1"/>
          </rPr>
          <t>Barnabas Minja:</t>
        </r>
        <r>
          <rPr>
            <sz val="9"/>
            <color indexed="81"/>
            <rFont val="Tahoma"/>
            <charset val="1"/>
          </rPr>
          <t xml:space="preserve">
Officially "NO CAA Processing Fees" for issuance of Seychelles overflight permits; valid +72 hrs; nav bill direct to operator. Source: Flytag (UNOFFICIAL trip-support broker), https://flytag.co/locations/africa/seychelles-overflight-and-landing-permits.html</t>
        </r>
      </text>
    </comment>
    <comment ref="K48" authorId="0" shapeId="0" xr:uid="{8365DD24-EC07-45A1-A9B6-0F6EB2A1F5C5}">
      <text>
        <r>
          <rPr>
            <b/>
            <sz val="9"/>
            <color indexed="81"/>
            <rFont val="Tahoma"/>
            <charset val="1"/>
          </rPr>
          <t>Barnabas Minja:</t>
        </r>
        <r>
          <rPr>
            <sz val="9"/>
            <color indexed="81"/>
            <rFont val="Tahoma"/>
            <charset val="1"/>
          </rPr>
          <t xml:space="preserve">
Officially "NO CAA Processing Fees" for issuance of Sierra Leone overflight permits; valid +72 hrs; nav bill issued direct to operator. Source: Flytag (UNOFFICIAL trip-support broker), https://flytag.co/locations/africa/sierra-leone-overflight-and-landing-permits.html</t>
        </r>
      </text>
    </comment>
    <comment ref="K49" authorId="0" shapeId="0" xr:uid="{BD8D463A-B37B-4C29-8191-87C5ACC4940A}">
      <text>
        <r>
          <rPr>
            <b/>
            <sz val="9"/>
            <color indexed="81"/>
            <rFont val="Tahoma"/>
            <charset val="1"/>
          </rPr>
          <t>Barnabas Minja:</t>
        </r>
        <r>
          <rPr>
            <sz val="9"/>
            <color indexed="81"/>
            <rFont val="Tahoma"/>
            <charset val="1"/>
          </rPr>
          <t xml:space="preserve">
Officially "NO CAA Processing Fees" for issuance of Somalia overflight permits; valid +72 hrs; nav bill issued via IATA. NOTE: Somaliland's Ministry of Civil Aviation separately requires prior overflight authorisation for its claimed airspace effective 10 NOV 2025. Source: UCAS (UNOFFICIAL trip-support broker), https://www.ucas.com.sa/en/overflight-permits/122</t>
        </r>
      </text>
    </comment>
    <comment ref="K50" authorId="0" shapeId="0" xr:uid="{E7D967AE-7AEC-4678-96B5-C773B1302008}">
      <text>
        <r>
          <rPr>
            <b/>
            <sz val="9"/>
            <color indexed="81"/>
            <rFont val="Tahoma"/>
            <charset val="1"/>
          </rPr>
          <t>Barnabas Minja:</t>
        </r>
        <r>
          <rPr>
            <sz val="9"/>
            <color indexed="81"/>
            <rFont val="Tahoma"/>
            <charset val="1"/>
          </rPr>
          <t xml:space="preserve">
Officially there is "NO CAA Processing Fees" for issuance of South Africa overflight permits; notification valid for requested date of flight. Source: Flytag (UNOFFICIAL trip-support broker), https://flytag.co/locations/africa/south-africa-overflight-and-landing-permits.html</t>
        </r>
      </text>
    </comment>
    <comment ref="K51" authorId="0" shapeId="0" xr:uid="{1D1E5BEF-4BF9-4761-A701-89BF23CECF94}">
      <text>
        <r>
          <rPr>
            <b/>
            <sz val="9"/>
            <color indexed="81"/>
            <rFont val="Tahoma"/>
            <charset val="1"/>
          </rPr>
          <t>Barnabas Minja:</t>
        </r>
        <r>
          <rPr>
            <sz val="9"/>
            <color indexed="81"/>
            <rFont val="Tahoma"/>
            <charset val="1"/>
          </rPr>
          <t xml:space="preserve">
No permit-fee figure located in any broker or official source for South Sudan. SSCAA operates an e-services portal (https://sscaa.eservices.gov.ss/) where service fees are paid on application — request the current schedule of charges direct from SSCAA.</t>
        </r>
      </text>
    </comment>
    <comment ref="K52" authorId="0" shapeId="0" xr:uid="{4F1EA1B2-4FDC-4339-8679-D2709C225290}">
      <text>
        <r>
          <rPr>
            <b/>
            <sz val="9"/>
            <color indexed="81"/>
            <rFont val="Tahoma"/>
            <charset val="1"/>
          </rPr>
          <t>Barnabas Minja:</t>
        </r>
        <r>
          <rPr>
            <sz val="9"/>
            <color indexed="81"/>
            <rFont val="Tahoma"/>
            <charset val="1"/>
          </rPr>
          <t xml:space="preserve">
SCAA applies air navigation / over-flight charges by ATS route and weight band rather than a flat processing fee. Legal basis: Civil Aviation Act (1999), Air Navigation Services Charges Regulations. Charges payable in advance of departure. Source: Airways Flight Support (UNOFFICIAL trip-support broker), https://airwaysfs.co/flight-permits/sudan/</t>
        </r>
      </text>
    </comment>
    <comment ref="K53" authorId="0" shapeId="0" xr:uid="{C073419A-143E-4FE8-BAF1-8ABBF9CF26D0}">
      <text>
        <r>
          <rPr>
            <b/>
            <sz val="9"/>
            <color indexed="81"/>
            <rFont val="Tahoma"/>
            <charset val="1"/>
          </rPr>
          <t>Barnabas Minja:</t>
        </r>
        <r>
          <rPr>
            <sz val="9"/>
            <color indexed="81"/>
            <rFont val="Tahoma"/>
            <charset val="1"/>
          </rPr>
          <t xml:space="preserve">
Officially "100 USD CAA Processing Fees" for issuance of Tanzania overflight permits; valid 24 hrs; TCAA issues nav bill direct to the company submitting the request. Source: Flytag (UNOFFICIAL trip-support broker), https://flytag.co/locations/africa/tanzania-overflight-and-landing-permits.html</t>
        </r>
      </text>
    </comment>
    <comment ref="K54" authorId="0" shapeId="0" xr:uid="{BFFF3354-03A7-446C-8CEE-E2C046EC9F56}">
      <text>
        <r>
          <rPr>
            <b/>
            <sz val="9"/>
            <color indexed="81"/>
            <rFont val="Tahoma"/>
            <charset val="1"/>
          </rPr>
          <t>Barnabas Minja:</t>
        </r>
        <r>
          <rPr>
            <sz val="9"/>
            <color indexed="81"/>
            <rFont val="Tahoma"/>
            <charset val="1"/>
          </rPr>
          <t xml:space="preserve">
Officially "60 USD CAA Processing Fees" for issuance of Togo overflight permits; valid +72 hrs; nav bill via ASECNA. Advance payment of the CAA processing fee is mandatory to obtain the permit; apply approx. 3 working days ahead. Sources: Flytag, https://flytag.co/locations/africa/togo-overflight-and-landing-permits.html and VarnaJet, https://www.varnajet.com/post/togo-your-guide-to-overflight-and-landing-permits (both UNOFFICIAL trip-support brokers)</t>
        </r>
      </text>
    </comment>
    <comment ref="K55" authorId="0" shapeId="0" xr:uid="{2A8EA599-1722-4785-9F53-BBA4F60DBCCF}">
      <text>
        <r>
          <rPr>
            <b/>
            <sz val="9"/>
            <color indexed="81"/>
            <rFont val="Tahoma"/>
            <charset val="1"/>
          </rPr>
          <t>Officially "NO CAA Processing Fees" for issuance of Tunisia overflight permits; valid +72 hrs; nav bill issued direct to operator. Source: UCAS (UNOFFICIAL trip-support broker), https://www.ucas.com.sa/en/overflight-permits/127</t>
        </r>
      </text>
    </comment>
    <comment ref="K56" authorId="0" shapeId="0" xr:uid="{869120A2-F198-41C6-A52C-35A4121D7923}">
      <text>
        <r>
          <rPr>
            <b/>
            <sz val="9"/>
            <color indexed="81"/>
            <rFont val="Tahoma"/>
            <charset val="1"/>
          </rPr>
          <t>Barnabas Minja:</t>
        </r>
        <r>
          <rPr>
            <sz val="9"/>
            <color indexed="81"/>
            <rFont val="Tahoma"/>
            <charset val="1"/>
          </rPr>
          <t xml:space="preserve">
Officially "NO CAA Processing Fees" for issuance of Uganda overflight permits; valid +72 hrs; UCAA handles air navigation billing direct; landing permits require min 2 working days. Source: UCAS / Just Aviation (UNOFFICIAL trip-support brokers), https://www.ucas.com.sa/en/overflight-permits/128</t>
        </r>
      </text>
    </comment>
    <comment ref="K57" authorId="0" shapeId="0" xr:uid="{4C0D0944-5AF9-46F5-8723-94A0DCD1D623}">
      <text>
        <r>
          <rPr>
            <b/>
            <sz val="9"/>
            <color indexed="81"/>
            <rFont val="Tahoma"/>
            <charset val="1"/>
          </rPr>
          <t>Barnabas Minja:</t>
        </r>
        <r>
          <rPr>
            <sz val="9"/>
            <color indexed="81"/>
            <rFont val="Tahoma"/>
            <charset val="1"/>
          </rPr>
          <t xml:space="preserve">
Officially "NO CAA Processing Fees" for issuance of Zambia overflight permits; valid +72 hrs; nav bill issued via IATA. Source: Flytag (UNOFFICIAL trip-support broker), https://flytag.co/locations/africa/zambia-overflight-and-landing-permits.html</t>
        </r>
      </text>
    </comment>
    <comment ref="K58" authorId="0" shapeId="0" xr:uid="{3DEEBE3B-0254-441D-8211-2B28AD521463}">
      <text>
        <r>
          <rPr>
            <b/>
            <sz val="9"/>
            <color indexed="81"/>
            <rFont val="Tahoma"/>
            <charset val="1"/>
          </rPr>
          <t>Barnabas Minja:</t>
        </r>
        <r>
          <rPr>
            <sz val="9"/>
            <color indexed="81"/>
            <rFont val="Tahoma"/>
            <charset val="1"/>
          </rPr>
          <t xml:space="preserve">
Officially "NO CAA Processing Fees" for issuance of Zimbabwe overflight permits; valid +72 hrs; CAAZ issues nav bills direct to the requesting company. Source: Flytag / Airways Flight Support (UNOFFICIAL trip-support brokers), https://flytag.co/locations/africa/zimbabwe-overflight-and-landing-permits.html</t>
        </r>
      </text>
    </comment>
    <comment ref="D64" authorId="0" shapeId="0" xr:uid="{5FEEF490-715F-4BBE-B8E5-C83E01815FF3}">
      <text>
        <r>
          <rPr>
            <b/>
            <sz val="9"/>
            <color indexed="81"/>
            <rFont val="Tahoma"/>
            <charset val="1"/>
          </rPr>
          <t>Barnabas Minja:</t>
        </r>
        <r>
          <rPr>
            <sz val="9"/>
            <color indexed="81"/>
            <rFont val="Tahoma"/>
            <charset val="1"/>
          </rPr>
          <t xml:space="preserve">
Source: ASECNA eAIP GEN 4.3 (Madagascar), effective 28 DEC 2023, https://aim.asecna.aero/html/eAIP/FR-_09GEN-4.3-01-fr-FR.html</t>
        </r>
      </text>
    </comment>
    <comment ref="D65" authorId="0" shapeId="0" xr:uid="{A84CCFFB-71A7-4658-B182-7AE8AB0463EC}">
      <text>
        <r>
          <rPr>
            <b/>
            <sz val="9"/>
            <color indexed="81"/>
            <rFont val="Tahoma"/>
            <charset val="1"/>
          </rPr>
          <t>Barnabas Minja:</t>
        </r>
        <r>
          <rPr>
            <sz val="9"/>
            <color indexed="81"/>
            <rFont val="Tahoma"/>
            <charset val="1"/>
          </rPr>
          <t xml:space="preserve">
Source: ASECNA eAIP GEN 4.3 (Madagascar), effective 28 DEC 2023, https://aim.asecna.aero/html/eAIP/FR-_09GEN-4.3-01-fr-FR.html</t>
        </r>
      </text>
    </comment>
    <comment ref="D66" authorId="0" shapeId="0" xr:uid="{298E9301-6E65-4CC3-B88C-E9EE4C7338DA}">
      <text>
        <r>
          <rPr>
            <b/>
            <sz val="9"/>
            <color indexed="81"/>
            <rFont val="Tahoma"/>
            <charset val="1"/>
          </rPr>
          <t>Barnabas Minja:</t>
        </r>
        <r>
          <rPr>
            <sz val="9"/>
            <color indexed="81"/>
            <rFont val="Tahoma"/>
            <charset val="1"/>
          </rPr>
          <t xml:space="preserve">
Source: ASECNA eAIP GEN 4.3 (Madagascar), effective 28 DEC 2023, https://aim.asecna.aero/html/eAIP/FR-_09GEN-4.3-01-fr-FR.html</t>
        </r>
      </text>
    </comment>
    <comment ref="D67" authorId="0" shapeId="0" xr:uid="{952DE1BB-7C5B-45BB-912B-88625B138476}">
      <text>
        <r>
          <rPr>
            <b/>
            <sz val="9"/>
            <color indexed="81"/>
            <rFont val="Tahoma"/>
            <charset val="1"/>
          </rPr>
          <t>Barnabas Minja:</t>
        </r>
        <r>
          <rPr>
            <sz val="9"/>
            <color indexed="81"/>
            <rFont val="Tahoma"/>
            <charset val="1"/>
          </rPr>
          <t xml:space="preserve">
Source: ASECNA eAIP GEN 4.3 (Madagascar), effective 28 DEC 2023, https://aim.asecna.aero/html/eAIP/FR-_09GEN-4.3-01-fr-FR.html</t>
        </r>
      </text>
    </comment>
    <comment ref="D84" authorId="0" shapeId="0" xr:uid="{814ECBD6-D876-4FF0-9C71-E6B1B6C0FE02}">
      <text>
        <r>
          <rPr>
            <b/>
            <sz val="9"/>
            <color indexed="81"/>
            <rFont val="Tahoma"/>
            <charset val="1"/>
          </rPr>
          <t>Barnabas Minja:</t>
        </r>
        <r>
          <rPr>
            <sz val="9"/>
            <color indexed="81"/>
            <rFont val="Tahoma"/>
            <charset val="1"/>
          </rPr>
          <t xml:space="preserve">
For aircraft over 14 tonnes, a user charge payable to ASECNA levied at EUR 110.38 for international flights and EUR 88.31 for flights between ASECNA member States without landing in a non-member State. This is HIGHER than the EUR 105.84 published in the ASECNA eAIP GEN 4.3 effective 28 DEC 2023 used in the calculator above - it suggests a later tariff revision. Source: VarnaJet (UNOFFICIAL trip-support broker), 2024, https://www.varnajet.com/post/cameroon-overflight-and-landing-permits - VERIFY against current ASECNA eAIP before billing.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Barnabas Minja</author>
  </authors>
  <commentList>
    <comment ref="D61" authorId="0" shapeId="0" xr:uid="{0935693C-2117-4FBB-BB9A-88A0561A3A73}">
      <text>
        <r>
          <rPr>
            <b/>
            <sz val="9"/>
            <color indexed="81"/>
            <rFont val="Tahoma"/>
            <charset val="1"/>
          </rPr>
          <t>Barnabas Minja:</t>
        </r>
        <r>
          <rPr>
            <sz val="9"/>
            <color indexed="81"/>
            <rFont val="Tahoma"/>
            <charset val="1"/>
          </rPr>
          <t xml:space="preserve">
The flat rate charge per FIR crossing is 9.60 US Dollars, payable from the effective date until further notice. Levied when flights cross international FIR boundaries of states whose ATC centres are equipped with a SADC VSAT satellite communication system. Billed once per flight across all SADC VSAT states. Source: AIP South Africa GEN 4.2 (ATNS), https://cad.atns.co.za/SmartAIM/EAipPackages/15-OCT-22/2022-10-15-000000/html/eAIP/FA-GEN-4.2-en-US.html</t>
        </r>
      </text>
    </comment>
    <comment ref="D62" authorId="0" shapeId="0" xr:uid="{4C1A28AE-733C-411C-B532-564D043E882C}">
      <text>
        <r>
          <rPr>
            <b/>
            <sz val="9"/>
            <color indexed="81"/>
            <rFont val="Tahoma"/>
            <charset val="1"/>
          </rPr>
          <t>Barnabas Minja:</t>
        </r>
        <r>
          <rPr>
            <sz val="9"/>
            <color indexed="81"/>
            <rFont val="Tahoma"/>
            <charset val="1"/>
          </rPr>
          <t xml:space="preserve">
NAFISAT charge shown as USD 10.00 per FIR crossing in AFRAA's Air Navigation Service Charges in Africa study. AFRAA is an airline trade association, not the ANSP - treat as indicative and confirm against the relevant state AIP GEN 4.2. Source: AFRAA, https://afraa.org/wp-content/uploads/2020/11/Air-navigation-service-charges-study.pdf</t>
        </r>
      </text>
    </comment>
    <comment ref="D63" authorId="0" shapeId="0" xr:uid="{EE45320A-ABCD-4311-B24C-4A8AB1AF7912}">
      <text>
        <r>
          <rPr>
            <b/>
            <sz val="9"/>
            <color indexed="81"/>
            <rFont val="Tahoma"/>
            <charset val="1"/>
          </rPr>
          <t>Barnabas Minja:</t>
        </r>
        <r>
          <rPr>
            <sz val="9"/>
            <color indexed="81"/>
            <rFont val="Tahoma"/>
            <charset val="1"/>
          </rPr>
          <t xml:space="preserve">
No separately published per-flight AFISNET tariff was located. AFISNET is the West/Central African VSAT network operated within ASECNA; its cost is recovered inside the ASECNA route charge rather than billed as a distinct line item.</t>
        </r>
      </text>
    </comment>
    <comment ref="D68" authorId="0" shapeId="0" xr:uid="{B1BCD9BE-B028-430E-B502-1FCA306AFD3B}">
      <text>
        <r>
          <rPr>
            <b/>
            <sz val="9"/>
            <color indexed="81"/>
            <rFont val="Tahoma"/>
            <charset val="1"/>
          </rPr>
          <t>Barnabas Minja:</t>
        </r>
        <r>
          <rPr>
            <sz val="9"/>
            <color indexed="81"/>
            <rFont val="Tahoma"/>
            <charset val="1"/>
          </rPr>
          <t xml:space="preserve">
Mid-market EUR to USD rate: EUR 1 = USD 1.1555. Source: Xe.com, https://www.xe.com/en-us/currencyconverter/convert/?Amount=1&amp;From=EUR&amp;To=USD - UPDATE THIS CELL to reprice every EUR-denominated fee in the table.</t>
        </r>
      </text>
    </comment>
    <comment ref="D69" authorId="0" shapeId="0" xr:uid="{155612BE-8C79-4E02-8B28-A90AFC9B192D}">
      <text>
        <r>
          <rPr>
            <b/>
            <sz val="9"/>
            <color indexed="81"/>
            <rFont val="Tahoma"/>
            <charset val="1"/>
          </rPr>
          <t>Barnabas Minja:</t>
        </r>
        <r>
          <rPr>
            <sz val="9"/>
            <color indexed="81"/>
            <rFont val="Tahoma"/>
            <charset val="1"/>
          </rPr>
          <t xml:space="preserve">
Mid-market CHF to USD rate: CHF 1 = USD 1.2363. Source: Xe.com, https://www.xe.com/en-us/currencyconverter/convert/?Amount=1&amp;From=CHF&amp;To=USD - used only for Sudan's route/weight overflight charges.</t>
        </r>
      </text>
    </comment>
  </commentList>
</comments>
</file>

<file path=xl/sharedStrings.xml><?xml version="1.0" encoding="utf-8"?>
<sst xmlns="http://schemas.openxmlformats.org/spreadsheetml/2006/main" count="942" uniqueCount="273">
  <si>
    <t>AFRICA — OVERFLIGHT &amp; LANDING PERMIT FEES AND ANCILLARY AIR NAVIGATION CHARGES</t>
  </si>
  <si>
    <t>All 54 African states. Fee columns require verification against current CAA circulars / trip-support rate sheets before operational use.</t>
  </si>
  <si>
    <t>Country</t>
  </si>
  <si>
    <t>ICAO Prefix</t>
  </si>
  <si>
    <t>Sub-Region</t>
  </si>
  <si>
    <t>ANSP / FIR Authority</t>
  </si>
  <si>
    <t>ASECNA Member</t>
  </si>
  <si>
    <t>VSAT Network</t>
  </si>
  <si>
    <t>O/F Permit Req'd</t>
  </si>
  <si>
    <t>Landing Permit Req'd</t>
  </si>
  <si>
    <t>Lead Time (working days)</t>
  </si>
  <si>
    <t>Permit Validity</t>
  </si>
  <si>
    <t>En-Route Charge Basis</t>
  </si>
  <si>
    <t>VSAT / Comms Charge</t>
  </si>
  <si>
    <t>NAFISAT / AFISNET Charge</t>
  </si>
  <si>
    <t>Other Fees &amp; Notes</t>
  </si>
  <si>
    <t>Source Status</t>
  </si>
  <si>
    <t>Algeria</t>
  </si>
  <si>
    <t>DA</t>
  </si>
  <si>
    <t>North Africa</t>
  </si>
  <si>
    <t>ENNA</t>
  </si>
  <si>
    <t>No</t>
  </si>
  <si>
    <t>NAFISAT</t>
  </si>
  <si>
    <t>Yes</t>
  </si>
  <si>
    <t>Date/time specific</t>
  </si>
  <si>
    <t>National unit rate x distance x sqrt(MTOW/50)</t>
  </si>
  <si>
    <t>Angola</t>
  </si>
  <si>
    <t>FN</t>
  </si>
  <si>
    <t>Southern Africa</t>
  </si>
  <si>
    <t>ENANA</t>
  </si>
  <si>
    <t>SADC VSAT</t>
  </si>
  <si>
    <t>Benin</t>
  </si>
  <si>
    <t>DB</t>
  </si>
  <si>
    <t>West Africa</t>
  </si>
  <si>
    <t>ASECNA</t>
  </si>
  <si>
    <t>AFISNET</t>
  </si>
  <si>
    <t>Botswana</t>
  </si>
  <si>
    <t>FB</t>
  </si>
  <si>
    <t>CAAB</t>
  </si>
  <si>
    <t>Burkina Faso</t>
  </si>
  <si>
    <t>DF</t>
  </si>
  <si>
    <t>Burundi</t>
  </si>
  <si>
    <t>HB</t>
  </si>
  <si>
    <t>East Africa</t>
  </si>
  <si>
    <t>AACB</t>
  </si>
  <si>
    <t>-</t>
  </si>
  <si>
    <t>Cabo Verde</t>
  </si>
  <si>
    <t>GV</t>
  </si>
  <si>
    <t>ASA / AAC</t>
  </si>
  <si>
    <t>Cameroon</t>
  </si>
  <si>
    <t>FK</t>
  </si>
  <si>
    <t>Central Africa</t>
  </si>
  <si>
    <t>Central African Republic</t>
  </si>
  <si>
    <t>FE</t>
  </si>
  <si>
    <t>Chad</t>
  </si>
  <si>
    <t>FT</t>
  </si>
  <si>
    <t>Comoros</t>
  </si>
  <si>
    <t>FM</t>
  </si>
  <si>
    <t>Congo (Republic of)</t>
  </si>
  <si>
    <t>FC</t>
  </si>
  <si>
    <t>Congo (DRC)</t>
  </si>
  <si>
    <t>FZ</t>
  </si>
  <si>
    <t>RVA</t>
  </si>
  <si>
    <t>Côte d'Ivoire</t>
  </si>
  <si>
    <t>DI</t>
  </si>
  <si>
    <t>Djibouti</t>
  </si>
  <si>
    <t>HD</t>
  </si>
  <si>
    <t>DCAA</t>
  </si>
  <si>
    <t>Egypt</t>
  </si>
  <si>
    <t>HE</t>
  </si>
  <si>
    <t>NANSC</t>
  </si>
  <si>
    <t>Equatorial Guinea</t>
  </si>
  <si>
    <t>FG</t>
  </si>
  <si>
    <t>Eritrea</t>
  </si>
  <si>
    <t>HH</t>
  </si>
  <si>
    <t>ECAA</t>
  </si>
  <si>
    <t>Eswatini</t>
  </si>
  <si>
    <t>FD</t>
  </si>
  <si>
    <t>ESWACAA</t>
  </si>
  <si>
    <t>Ethiopia</t>
  </si>
  <si>
    <t>HA</t>
  </si>
  <si>
    <t>Gabon</t>
  </si>
  <si>
    <t>FO</t>
  </si>
  <si>
    <t>Gambia</t>
  </si>
  <si>
    <t>GB</t>
  </si>
  <si>
    <t>GCAA</t>
  </si>
  <si>
    <t>Ghana</t>
  </si>
  <si>
    <t>DG</t>
  </si>
  <si>
    <t>Guinea</t>
  </si>
  <si>
    <t>GU</t>
  </si>
  <si>
    <t>AGNA</t>
  </si>
  <si>
    <t>Guinea-Bissau</t>
  </si>
  <si>
    <t>GG</t>
  </si>
  <si>
    <t>Kenya</t>
  </si>
  <si>
    <t>HK</t>
  </si>
  <si>
    <t>KCAA</t>
  </si>
  <si>
    <t>Lesotho</t>
  </si>
  <si>
    <t>FX</t>
  </si>
  <si>
    <t>LDCA</t>
  </si>
  <si>
    <t>Liberia</t>
  </si>
  <si>
    <t>GL</t>
  </si>
  <si>
    <t>LCAA</t>
  </si>
  <si>
    <t>Libya</t>
  </si>
  <si>
    <t>HL</t>
  </si>
  <si>
    <t>LYCAA</t>
  </si>
  <si>
    <t>Madagascar</t>
  </si>
  <si>
    <t>Malawi</t>
  </si>
  <si>
    <t>FW</t>
  </si>
  <si>
    <t>DCA</t>
  </si>
  <si>
    <t>Mali</t>
  </si>
  <si>
    <t>GA</t>
  </si>
  <si>
    <t>Mauritania</t>
  </si>
  <si>
    <t>GQ</t>
  </si>
  <si>
    <t>Mauritius</t>
  </si>
  <si>
    <t>FI</t>
  </si>
  <si>
    <t>Morocco</t>
  </si>
  <si>
    <t>GM</t>
  </si>
  <si>
    <t>ONDA</t>
  </si>
  <si>
    <t>Mozambique</t>
  </si>
  <si>
    <t>FQ</t>
  </si>
  <si>
    <t>IACM / ADM</t>
  </si>
  <si>
    <t>Namibia</t>
  </si>
  <si>
    <t>FY</t>
  </si>
  <si>
    <t>NCAA</t>
  </si>
  <si>
    <t>Niger</t>
  </si>
  <si>
    <t>DR</t>
  </si>
  <si>
    <t>Nigeria</t>
  </si>
  <si>
    <t>DN</t>
  </si>
  <si>
    <t>NAMA / NCAA</t>
  </si>
  <si>
    <t>Rwanda</t>
  </si>
  <si>
    <t>HR</t>
  </si>
  <si>
    <t>RCAA</t>
  </si>
  <si>
    <t>São Tomé and Príncipe</t>
  </si>
  <si>
    <t>FP</t>
  </si>
  <si>
    <t>ENASA / INAC</t>
  </si>
  <si>
    <t>Senegal</t>
  </si>
  <si>
    <t>GO</t>
  </si>
  <si>
    <t>ASECNA / ANACIM</t>
  </si>
  <si>
    <t>Seychelles</t>
  </si>
  <si>
    <t>FS</t>
  </si>
  <si>
    <t>SCAA</t>
  </si>
  <si>
    <t>Sierra Leone</t>
  </si>
  <si>
    <t>GF</t>
  </si>
  <si>
    <t>SLCAA</t>
  </si>
  <si>
    <t>Somalia</t>
  </si>
  <si>
    <t>HC</t>
  </si>
  <si>
    <t>SCAA (Mogadishu FIR)</t>
  </si>
  <si>
    <t>Flat en-route charge per crossing (FIR)</t>
  </si>
  <si>
    <t>South Africa</t>
  </si>
  <si>
    <t>FA</t>
  </si>
  <si>
    <t>ATNS / SACAA</t>
  </si>
  <si>
    <t>South Sudan</t>
  </si>
  <si>
    <t>HJ</t>
  </si>
  <si>
    <t>SSCAA</t>
  </si>
  <si>
    <t>Sudan</t>
  </si>
  <si>
    <t>HS</t>
  </si>
  <si>
    <t>North / East Africa</t>
  </si>
  <si>
    <t>Tanzania</t>
  </si>
  <si>
    <t>HT</t>
  </si>
  <si>
    <t>TCAA</t>
  </si>
  <si>
    <t>Togo</t>
  </si>
  <si>
    <t>DX</t>
  </si>
  <si>
    <t>Tunisia</t>
  </si>
  <si>
    <t>DT</t>
  </si>
  <si>
    <t>OACA</t>
  </si>
  <si>
    <t>Uganda</t>
  </si>
  <si>
    <t>HU</t>
  </si>
  <si>
    <t>UCAA</t>
  </si>
  <si>
    <t>Zambia</t>
  </si>
  <si>
    <t>FL</t>
  </si>
  <si>
    <t>ZACL / ZCAA</t>
  </si>
  <si>
    <t>Zimbabwe</t>
  </si>
  <si>
    <t>FV</t>
  </si>
  <si>
    <t>CAAZ</t>
  </si>
  <si>
    <t>ASECNA HARMONISED EN-ROUTE (ROUTE) CHARGE — OFFICIAL TARIFF</t>
  </si>
  <si>
    <t>Applies to the 17 ASECNA member states in column E. Charge is assessed per FIR crossing.</t>
  </si>
  <si>
    <t>Unit charge — aircraft above 14 t — international flight (EUR)</t>
  </si>
  <si>
    <t>Unit charge — aircraft above 14 t — domestic flight (EUR)</t>
  </si>
  <si>
    <t>Flat charge — aircraft below 14 t — international flight (EUR)</t>
  </si>
  <si>
    <t>Flat charge — aircraft below 14 t — domestic flight (EUR)</t>
  </si>
  <si>
    <t>Route charge (&gt;14 t) = Unit charge x Coefficient. Coefficient is read from MTOW band (rows) against distance flown in the FIR (columns). Charges are exclusive of tax.</t>
  </si>
  <si>
    <t>COEFFICIENT TABLE — MTOW BAND vs DISTANCE FLOWN</t>
  </si>
  <si>
    <t>MTOW Band (tonnes)</t>
  </si>
  <si>
    <t>0 - 750 km</t>
  </si>
  <si>
    <t>751 - 2,000 km</t>
  </si>
  <si>
    <t>2,001 - 3,500 km</t>
  </si>
  <si>
    <t>Over 3,500 km</t>
  </si>
  <si>
    <t>15 - 20</t>
  </si>
  <si>
    <t>21 - 50</t>
  </si>
  <si>
    <t>51 - 90</t>
  </si>
  <si>
    <t>91 - 140</t>
  </si>
  <si>
    <t>141 - 200</t>
  </si>
  <si>
    <t>201 - 270</t>
  </si>
  <si>
    <t>271 - 350</t>
  </si>
  <si>
    <t>351 - 440</t>
  </si>
  <si>
    <t>441 - 540</t>
  </si>
  <si>
    <t>541 - 650</t>
  </si>
  <si>
    <t>Band lower bound (t)</t>
  </si>
  <si>
    <t>Distance lower bound (km)</t>
  </si>
  <si>
    <t>ASECNA ROUTE CHARGE CALCULATOR (live)</t>
  </si>
  <si>
    <t>MTOW (tonnes)</t>
  </si>
  <si>
    <t>Distance flown in FIR (km)</t>
  </si>
  <si>
    <t>Flight type (International / Domestic)</t>
  </si>
  <si>
    <t>International</t>
  </si>
  <si>
    <t>Coefficient applied</t>
  </si>
  <si>
    <t>Unit / flat charge applied (EUR)</t>
  </si>
  <si>
    <t>ROUTE CHARGE PER FIR CROSSING (EUR)</t>
  </si>
  <si>
    <t>Recovered within en-route bill — rate not published</t>
  </si>
  <si>
    <t>n/a</t>
  </si>
  <si>
    <t>NAFISAT surcharge — billed with en-route charge, rate not published</t>
  </si>
  <si>
    <t>AFISNET surcharge — billed with en-route charge, rate not published</t>
  </si>
  <si>
    <t>CAA permit fee and en-route unit rate published only in national AIP GEN 4 / AIC — obtain current circular.</t>
  </si>
  <si>
    <t>CAA overflight/landing permit fee is an administrative charge — not published in AIP; obtain from CAA or handler. En-route billed by ASECNA.</t>
  </si>
  <si>
    <t>NOT VERIFIED — no official published rate located</t>
  </si>
  <si>
    <t>ASECNA eAIP GEN 4.3 (eff. 28 DEC 2023) — OFFICIAL</t>
  </si>
  <si>
    <t>ASECNA: unit charge x coefficient — see calculator rows 61-91</t>
  </si>
  <si>
    <t>O/F Permit Fee (per leg, as published)</t>
  </si>
  <si>
    <t>Landing Permit Fee (as published)</t>
  </si>
  <si>
    <t>None</t>
  </si>
  <si>
    <t>+72 hrs</t>
  </si>
  <si>
    <t>EUR 72 (std, 72h) / EUR 228 (urgent, 24h) / EUR 440 (top urgent, 1h)</t>
  </si>
  <si>
    <t>+24 hrs</t>
  </si>
  <si>
    <t>EUR 70</t>
  </si>
  <si>
    <t>+48 hrs</t>
  </si>
  <si>
    <t>Date of flight</t>
  </si>
  <si>
    <t>No flat fee — route/weight based: ALEBA-TOKAR &lt;30t CHF 750, ≥30t CHF 1,200; other routes &lt;50t CHF 1,800, 50-199t CHF 2,400, ≥200t CHF 2,700</t>
  </si>
  <si>
    <t>CCAA development licence fee: XAF 15,000 per aircraft + XAF 10,000 per passenger (UN aircraft exempt)</t>
  </si>
  <si>
    <t>None per brokers — but RCAA form requires prescribed charge</t>
  </si>
  <si>
    <t>Not found</t>
  </si>
  <si>
    <t>Verify</t>
  </si>
  <si>
    <t>EUR 150</t>
  </si>
  <si>
    <t>Not found — verify</t>
  </si>
  <si>
    <t>Alternate ASECNA unit charge (later broker citation, unverified against 2026 eAIP)</t>
  </si>
  <si>
    <t>EUR 110.38 intl / EUR 88.31 intra-ASECNA</t>
  </si>
  <si>
    <t>3-5</t>
  </si>
  <si>
    <t>5-7</t>
  </si>
  <si>
    <t>2-3</t>
  </si>
  <si>
    <t>4-7</t>
  </si>
  <si>
    <t>7-10</t>
  </si>
  <si>
    <t>AFRICA — FEE MATRIX BY COUNTRY AND FEE TYPE</t>
  </si>
  <si>
    <t>AFISNET Charge</t>
  </si>
  <si>
    <t>National En-Route Charge Basis</t>
  </si>
  <si>
    <t>Other Statutory Fees</t>
  </si>
  <si>
    <t>RATE CONSTANTS USED IN THE TABLE ABOVE</t>
  </si>
  <si>
    <t>AFISNET network charge</t>
  </si>
  <si>
    <t>Not published separately</t>
  </si>
  <si>
    <t>ASECNA unit charge, aircraft &gt;14t, international (EUR)</t>
  </si>
  <si>
    <t>ASECNA flat charge, aircraft &lt;14t, international (EUR)</t>
  </si>
  <si>
    <t>Note: the ASECNA unit charge is multiplied by an MTOW x distance coefficient — use the calculator on Sheet1 rows 86-91 for the payable amount per FIR crossing.</t>
  </si>
  <si>
    <t>OUR SERVICE FEES</t>
  </si>
  <si>
    <t>Vendor offering us 50 permits or more per month.</t>
  </si>
  <si>
    <t>KEY: Any fee in Green and Blue is our fee and it can be volume negotiated.</t>
  </si>
  <si>
    <t>CAA O/F Permit Fee ($)</t>
  </si>
  <si>
    <t>CAA Landing Permit Fee ($)</t>
  </si>
  <si>
    <t>Urgent / Short-Notice Permit Fee ($)</t>
  </si>
  <si>
    <t>ASECNA Unit Charge &gt;14t Intl ($)</t>
  </si>
  <si>
    <t>ASECNA Flat Charge &lt;14t Intl ($)</t>
  </si>
  <si>
    <t>SADC VSAT Charge ($/ FIR crossing)</t>
  </si>
  <si>
    <t>NAFISAT Charge ($/ FIR crossing)</t>
  </si>
  <si>
    <t>OUR Overfly Fee ($)</t>
  </si>
  <si>
    <t>OUR Landing Permit Fee ($)</t>
  </si>
  <si>
    <t>OUR STO Volume-Based Fee ($)</t>
  </si>
  <si>
    <t>TOTAL OVERFLY FEES ($)</t>
  </si>
  <si>
    <t>TOTAL LANDING FEES ($)</t>
  </si>
  <si>
    <t>SADC VSAT network charge — flat rate per FIR crossing ($)</t>
  </si>
  <si>
    <t>NAFISAT network charge — per FIR crossing ($)</t>
  </si>
  <si>
    <t>EUR / $exchange rate</t>
  </si>
  <si>
    <t>Our urgent/short notice fee($)</t>
  </si>
  <si>
    <t>&gt;=$20.00</t>
  </si>
  <si>
    <t>Our overfly fee ($)</t>
  </si>
  <si>
    <t>Our landing permit fee ($)</t>
  </si>
  <si>
    <t>Our STO volume-based fee ($)</t>
  </si>
  <si>
    <t>CHF / $ exchange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</si>
</sst>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9" formatCode="&quot;EUR &quot;#,##0.00;;&quot;—&quot;"/>
    <numFmt numFmtId="171" formatCode="0.0000"/>
    <numFmt numFmtId="174" formatCode="\$#,##0;\(\$#,##0\);\-"/>
    <numFmt numFmtId="175" formatCode="\$#,##0.00;;&quot;—&quot;"/>
    <numFmt numFmtId="176" formatCode="\$#,##0.00"/>
  </numFmts>
  <fonts count="24" x14ac:knownFonts="1">
    <font>
      <sz val="11"/>
      <color theme="1"/>
      <name val="Aptos Narrow"/>
      <family val="2"/>
      <scheme val="minor"/>
    </font>
    <font>
      <b/>
      <sz val="11"/>
      <color theme="1"/>
      <name val="Aptos Narrow"/>
      <family val="2"/>
      <scheme val="minor"/>
    </font>
    <font>
      <b/>
      <sz val="14"/>
      <color theme="1"/>
      <name val="Aptos Narrow"/>
      <family val="2"/>
      <scheme val="minor"/>
    </font>
    <font>
      <i/>
      <sz val="10"/>
      <color rgb="FFC00000"/>
      <name val="Aptos Narrow"/>
      <family val="2"/>
      <scheme val="minor"/>
    </font>
    <font>
      <sz val="12"/>
      <color theme="1"/>
      <name val="Aptos Narrow"/>
      <family val="2"/>
      <scheme val="minor"/>
    </font>
    <font>
      <b/>
      <sz val="12"/>
      <color theme="1"/>
      <name val="Aptos Narrow"/>
      <family val="2"/>
      <scheme val="minor"/>
    </font>
    <font>
      <sz val="10"/>
      <color theme="1"/>
      <name val="Aptos Narrow"/>
      <family val="2"/>
      <scheme val="minor"/>
    </font>
    <font>
      <i/>
      <sz val="10"/>
      <color theme="1"/>
      <name val="Aptos Narrow"/>
      <family val="2"/>
      <scheme val="minor"/>
    </font>
    <font>
      <sz val="11"/>
      <color rgb="FF0000FF"/>
      <name val="Aptos Narrow"/>
      <family val="2"/>
      <scheme val="minor"/>
    </font>
    <font>
      <sz val="9"/>
      <color indexed="81"/>
      <name val="Tahoma"/>
      <charset val="1"/>
    </font>
    <font>
      <b/>
      <sz val="9"/>
      <color indexed="81"/>
      <name val="Tahoma"/>
      <charset val="1"/>
    </font>
    <font>
      <i/>
      <sz val="9"/>
      <color theme="1"/>
      <name val="Aptos Narrow"/>
      <family val="2"/>
      <scheme val="minor"/>
    </font>
    <font>
      <b/>
      <sz val="11"/>
      <color rgb="FFFFFFFF"/>
      <name val="Aptos Narrow"/>
      <family val="2"/>
      <scheme val="minor"/>
    </font>
    <font>
      <b/>
      <sz val="10"/>
      <color rgb="FFFFFFFF"/>
      <name val="Aptos Narrow"/>
      <family val="2"/>
      <scheme val="minor"/>
    </font>
    <font>
      <b/>
      <sz val="10"/>
      <color theme="1"/>
      <name val="Aptos Narrow"/>
      <family val="2"/>
      <scheme val="minor"/>
    </font>
    <font>
      <i/>
      <sz val="9"/>
      <color rgb="FFFF0000"/>
      <name val="Aptos Narrow"/>
      <family val="2"/>
      <scheme val="minor"/>
    </font>
    <font>
      <b/>
      <sz val="12"/>
      <color rgb="FF1F3864"/>
      <name val="Aptos Narrow"/>
      <family val="2"/>
      <scheme val="minor"/>
    </font>
    <font>
      <b/>
      <sz val="12"/>
      <color rgb="FFFFFFFF"/>
      <name val="Aptos Narrow"/>
      <family val="2"/>
      <scheme val="minor"/>
    </font>
    <font>
      <b/>
      <sz val="12"/>
      <color rgb="FF008000"/>
      <name val="Aptos Narrow"/>
      <family val="2"/>
      <scheme val="minor"/>
    </font>
    <font>
      <sz val="12"/>
      <color rgb="FF008000"/>
      <name val="Aptos Narrow"/>
      <family val="2"/>
      <scheme val="minor"/>
    </font>
    <font>
      <sz val="12"/>
      <color rgb="FF0070C0"/>
      <name val="Aptos Narrow"/>
      <family val="2"/>
      <scheme val="minor"/>
    </font>
    <font>
      <sz val="12"/>
      <color rgb="FF0000FF"/>
      <name val="Aptos Narrow"/>
      <family val="2"/>
      <scheme val="minor"/>
    </font>
    <font>
      <i/>
      <sz val="12"/>
      <color rgb="FF595959"/>
      <name val="Aptos Narrow"/>
      <family val="2"/>
      <scheme val="minor"/>
    </font>
    <font>
      <b/>
      <i/>
      <sz val="12"/>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1F3864"/>
        <bgColor indexed="64"/>
      </patternFill>
    </fill>
    <fill>
      <patternFill patternType="solid">
        <fgColor rgb="FFFFF2CC"/>
        <bgColor indexed="64"/>
      </patternFill>
    </fill>
    <fill>
      <patternFill patternType="solid">
        <fgColor rgb="FFE2EFDA"/>
        <bgColor indexed="64"/>
      </patternFill>
    </fill>
    <fill>
      <patternFill patternType="solid">
        <fgColor rgb="FFEDEDED"/>
        <bgColor indexed="64"/>
      </patternFill>
    </fill>
    <fill>
      <patternFill patternType="solid">
        <fgColor rgb="FF375623"/>
        <bgColor indexed="64"/>
      </patternFill>
    </fill>
    <fill>
      <patternFill patternType="solid">
        <fgColor rgb="FF7F6000"/>
        <bgColor indexed="64"/>
      </patternFill>
    </fill>
    <fill>
      <patternFill patternType="solid">
        <fgColor theme="5" tint="0.39997558519241921"/>
        <bgColor indexed="64"/>
      </patternFill>
    </fill>
  </fills>
  <borders count="27">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rgb="FFD9D9D9"/>
      </right>
      <top style="thin">
        <color rgb="FFD9D9D9"/>
      </top>
      <bottom style="thin">
        <color rgb="FF1F3864"/>
      </bottom>
      <diagonal/>
    </border>
    <border>
      <left style="thin">
        <color rgb="FFD9D9D9"/>
      </left>
      <right style="thin">
        <color rgb="FFD9D9D9"/>
      </right>
      <top style="thin">
        <color rgb="FFD9D9D9"/>
      </top>
      <bottom style="thin">
        <color rgb="FF1F3864"/>
      </bottom>
      <diagonal/>
    </border>
    <border>
      <left style="thin">
        <color rgb="FFD9D9D9"/>
      </left>
      <right/>
      <top/>
      <bottom/>
      <diagonal/>
    </border>
    <border>
      <left style="medium">
        <color rgb="FFD9D9D9"/>
      </left>
      <right/>
      <top style="thin">
        <color rgb="FFD9D9D9"/>
      </top>
      <bottom style="thin">
        <color rgb="FFD9D9D9"/>
      </bottom>
      <diagonal/>
    </border>
    <border>
      <left style="thin">
        <color rgb="FFD9D9D9"/>
      </left>
      <right style="thin">
        <color rgb="FFD9D9D9"/>
      </right>
      <top style="thin">
        <color rgb="FFD9D9D9"/>
      </top>
      <bottom style="thin">
        <color indexed="64"/>
      </bottom>
      <diagonal/>
    </border>
  </borders>
  <cellStyleXfs count="1">
    <xf numFmtId="0" fontId="0" fillId="0" borderId="0"/>
  </cellStyleXfs>
  <cellXfs count="84">
    <xf numFmtId="0" fontId="0" fillId="0" borderId="0" xfId="0"/>
    <xf numFmtId="2" fontId="0" fillId="0" borderId="14" xfId="0" applyNumberFormat="1" applyBorder="1"/>
    <xf numFmtId="2" fontId="0" fillId="0" borderId="15" xfId="0" applyNumberFormat="1" applyBorder="1"/>
    <xf numFmtId="2" fontId="0" fillId="0" borderId="17" xfId="0" applyNumberFormat="1" applyBorder="1"/>
    <xf numFmtId="2" fontId="0" fillId="0" borderId="18" xfId="0" applyNumberFormat="1" applyBorder="1"/>
    <xf numFmtId="2" fontId="0" fillId="0" borderId="20" xfId="0" applyNumberFormat="1" applyBorder="1"/>
    <xf numFmtId="2" fontId="0" fillId="0" borderId="21" xfId="0" applyNumberFormat="1" applyBorder="1"/>
    <xf numFmtId="2" fontId="0" fillId="0" borderId="2" xfId="0" applyNumberFormat="1" applyBorder="1"/>
    <xf numFmtId="49" fontId="6" fillId="0" borderId="5" xfId="0" applyNumberFormat="1" applyFont="1" applyBorder="1" applyAlignment="1">
      <alignment horizontal="center" vertical="top"/>
    </xf>
    <xf numFmtId="49" fontId="6" fillId="0" borderId="8" xfId="0" applyNumberFormat="1" applyFont="1" applyBorder="1" applyAlignment="1">
      <alignment horizontal="center" vertical="top"/>
    </xf>
    <xf numFmtId="49" fontId="6" fillId="0" borderId="11" xfId="0" applyNumberFormat="1" applyFont="1" applyBorder="1" applyAlignment="1">
      <alignment horizontal="center" vertical="top"/>
    </xf>
    <xf numFmtId="169" fontId="8" fillId="0" borderId="0" xfId="0" applyNumberFormat="1" applyFont="1"/>
    <xf numFmtId="169" fontId="0" fillId="0" borderId="2" xfId="0" applyNumberFormat="1" applyBorder="1"/>
    <xf numFmtId="169" fontId="1" fillId="5" borderId="3" xfId="0" applyNumberFormat="1" applyFont="1" applyFill="1" applyBorder="1"/>
    <xf numFmtId="0" fontId="4" fillId="0" borderId="0" xfId="0" applyFont="1" applyAlignment="1">
      <alignment horizontal="left" vertical="center"/>
    </xf>
    <xf numFmtId="169" fontId="19" fillId="0" borderId="0" xfId="0" applyNumberFormat="1" applyFont="1" applyAlignment="1">
      <alignment horizontal="left" vertical="center"/>
    </xf>
    <xf numFmtId="171" fontId="21" fillId="2" borderId="0" xfId="0" applyNumberFormat="1" applyFont="1" applyFill="1" applyAlignment="1">
      <alignment horizontal="left" vertical="center"/>
    </xf>
    <xf numFmtId="0" fontId="16" fillId="0" borderId="0" xfId="0" applyNumberFormat="1" applyFont="1" applyAlignment="1">
      <alignment horizontal="left" vertical="center"/>
    </xf>
    <xf numFmtId="0" fontId="4" fillId="0" borderId="0" xfId="0" applyNumberFormat="1" applyFont="1" applyAlignment="1">
      <alignment horizontal="left" vertical="center"/>
    </xf>
    <xf numFmtId="0" fontId="17" fillId="3" borderId="4" xfId="0" applyNumberFormat="1" applyFont="1" applyFill="1" applyBorder="1" applyAlignment="1">
      <alignment horizontal="left" vertical="center" wrapText="1"/>
    </xf>
    <xf numFmtId="0" fontId="17" fillId="3" borderId="5" xfId="0" applyNumberFormat="1" applyFont="1" applyFill="1" applyBorder="1" applyAlignment="1">
      <alignment horizontal="left" vertical="center" wrapText="1"/>
    </xf>
    <xf numFmtId="0" fontId="17" fillId="7" borderId="5" xfId="0" applyNumberFormat="1" applyFont="1" applyFill="1" applyBorder="1" applyAlignment="1">
      <alignment horizontal="left" vertical="center" wrapText="1"/>
    </xf>
    <xf numFmtId="0" fontId="17" fillId="8" borderId="24" xfId="0" applyNumberFormat="1" applyFont="1" applyFill="1" applyBorder="1" applyAlignment="1">
      <alignment horizontal="left" vertical="center" wrapText="1"/>
    </xf>
    <xf numFmtId="0" fontId="18" fillId="0" borderId="7" xfId="0" applyNumberFormat="1" applyFont="1" applyBorder="1" applyAlignment="1">
      <alignment horizontal="left" vertical="center" wrapText="1"/>
    </xf>
    <xf numFmtId="0" fontId="19" fillId="0" borderId="8" xfId="0" applyNumberFormat="1" applyFont="1" applyBorder="1" applyAlignment="1">
      <alignment horizontal="left" vertical="center" wrapText="1"/>
    </xf>
    <xf numFmtId="0" fontId="18" fillId="9" borderId="7" xfId="0" applyNumberFormat="1" applyFont="1" applyFill="1" applyBorder="1" applyAlignment="1">
      <alignment horizontal="left" vertical="center" wrapText="1"/>
    </xf>
    <xf numFmtId="0" fontId="19" fillId="9" borderId="8" xfId="0" applyNumberFormat="1" applyFont="1" applyFill="1" applyBorder="1" applyAlignment="1">
      <alignment horizontal="left" vertical="center" wrapText="1"/>
    </xf>
    <xf numFmtId="0" fontId="18" fillId="0" borderId="22" xfId="0" applyNumberFormat="1" applyFont="1" applyBorder="1" applyAlignment="1">
      <alignment horizontal="left" vertical="center" wrapText="1"/>
    </xf>
    <xf numFmtId="0" fontId="19" fillId="0" borderId="23" xfId="0" applyNumberFormat="1" applyFont="1" applyBorder="1" applyAlignment="1">
      <alignment horizontal="left" vertical="center" wrapText="1"/>
    </xf>
    <xf numFmtId="0" fontId="16" fillId="0" borderId="0" xfId="0" applyNumberFormat="1" applyFont="1" applyAlignment="1">
      <alignment horizontal="left" vertical="center"/>
    </xf>
    <xf numFmtId="0" fontId="21" fillId="0" borderId="0" xfId="0" applyNumberFormat="1" applyFont="1" applyAlignment="1">
      <alignment horizontal="left" vertical="center"/>
    </xf>
    <xf numFmtId="0" fontId="22" fillId="0" borderId="0" xfId="0" applyNumberFormat="1" applyFont="1" applyAlignment="1">
      <alignment horizontal="left" vertical="center"/>
    </xf>
    <xf numFmtId="0" fontId="23" fillId="0" borderId="0" xfId="0" applyNumberFormat="1" applyFont="1" applyAlignment="1">
      <alignment horizontal="left" vertical="center"/>
    </xf>
    <xf numFmtId="0" fontId="2" fillId="0" borderId="0" xfId="0" applyNumberFormat="1" applyFont="1"/>
    <xf numFmtId="0" fontId="0" fillId="0" borderId="0" xfId="0" applyNumberFormat="1"/>
    <xf numFmtId="0" fontId="3" fillId="0" borderId="0" xfId="0" applyNumberFormat="1" applyFont="1"/>
    <xf numFmtId="0" fontId="13" fillId="3" borderId="0" xfId="0" applyNumberFormat="1" applyFont="1" applyFill="1" applyAlignment="1">
      <alignment horizontal="center" vertical="center" wrapText="1"/>
    </xf>
    <xf numFmtId="0" fontId="14" fillId="0" borderId="4" xfId="0" applyNumberFormat="1" applyFont="1" applyBorder="1" applyAlignment="1">
      <alignment vertical="top"/>
    </xf>
    <xf numFmtId="0" fontId="6" fillId="0" borderId="5" xfId="0" applyNumberFormat="1" applyFont="1" applyBorder="1" applyAlignment="1">
      <alignment horizontal="center" vertical="top"/>
    </xf>
    <xf numFmtId="0" fontId="6" fillId="0" borderId="5" xfId="0" applyNumberFormat="1" applyFont="1" applyBorder="1" applyAlignment="1">
      <alignment vertical="top"/>
    </xf>
    <xf numFmtId="174" fontId="6" fillId="4" borderId="5" xfId="0" applyNumberFormat="1" applyFont="1" applyFill="1" applyBorder="1" applyAlignment="1">
      <alignment vertical="top"/>
    </xf>
    <xf numFmtId="0" fontId="6" fillId="0" borderId="6" xfId="0" applyNumberFormat="1" applyFont="1" applyBorder="1" applyAlignment="1">
      <alignment vertical="top"/>
    </xf>
    <xf numFmtId="0" fontId="14" fillId="0" borderId="7" xfId="0" applyNumberFormat="1" applyFont="1" applyBorder="1" applyAlignment="1">
      <alignment vertical="top"/>
    </xf>
    <xf numFmtId="0" fontId="6" fillId="0" borderId="8" xfId="0" applyNumberFormat="1" applyFont="1" applyBorder="1" applyAlignment="1">
      <alignment horizontal="center" vertical="top"/>
    </xf>
    <xf numFmtId="0" fontId="6" fillId="0" borderId="8" xfId="0" applyNumberFormat="1" applyFont="1" applyBorder="1" applyAlignment="1">
      <alignment vertical="top"/>
    </xf>
    <xf numFmtId="174" fontId="6" fillId="4" borderId="8" xfId="0" applyNumberFormat="1" applyFont="1" applyFill="1" applyBorder="1" applyAlignment="1">
      <alignment vertical="top"/>
    </xf>
    <xf numFmtId="0" fontId="6" fillId="0" borderId="9" xfId="0" applyNumberFormat="1" applyFont="1" applyBorder="1" applyAlignment="1">
      <alignment vertical="top"/>
    </xf>
    <xf numFmtId="0" fontId="14" fillId="0" borderId="10" xfId="0" applyNumberFormat="1" applyFont="1" applyBorder="1" applyAlignment="1">
      <alignment vertical="top"/>
    </xf>
    <xf numFmtId="0" fontId="6" fillId="0" borderId="11" xfId="0" applyNumberFormat="1" applyFont="1" applyBorder="1" applyAlignment="1">
      <alignment horizontal="center" vertical="top"/>
    </xf>
    <xf numFmtId="0" fontId="6" fillId="0" borderId="11" xfId="0" applyNumberFormat="1" applyFont="1" applyBorder="1" applyAlignment="1">
      <alignment vertical="top"/>
    </xf>
    <xf numFmtId="174" fontId="6" fillId="4" borderId="11" xfId="0" applyNumberFormat="1" applyFont="1" applyFill="1" applyBorder="1" applyAlignment="1">
      <alignment vertical="top"/>
    </xf>
    <xf numFmtId="0" fontId="6" fillId="0" borderId="12" xfId="0" applyNumberFormat="1" applyFont="1" applyBorder="1" applyAlignment="1">
      <alignment vertical="top"/>
    </xf>
    <xf numFmtId="0" fontId="5" fillId="0" borderId="0" xfId="0" applyNumberFormat="1" applyFont="1"/>
    <xf numFmtId="0" fontId="7" fillId="0" borderId="0" xfId="0" applyNumberFormat="1" applyFont="1"/>
    <xf numFmtId="0" fontId="1" fillId="0" borderId="0" xfId="0" applyNumberFormat="1" applyFont="1"/>
    <xf numFmtId="0" fontId="12" fillId="3" borderId="0" xfId="0" applyNumberFormat="1" applyFont="1" applyFill="1"/>
    <xf numFmtId="0" fontId="11" fillId="0" borderId="0" xfId="0" applyNumberFormat="1" applyFont="1"/>
    <xf numFmtId="0" fontId="0" fillId="0" borderId="13" xfId="0" applyNumberFormat="1" applyBorder="1"/>
    <xf numFmtId="0" fontId="0" fillId="0" borderId="16" xfId="0" applyNumberFormat="1" applyBorder="1"/>
    <xf numFmtId="0" fontId="0" fillId="0" borderId="19" xfId="0" applyNumberFormat="1" applyBorder="1"/>
    <xf numFmtId="0" fontId="11" fillId="0" borderId="0" xfId="0" applyNumberFormat="1" applyFont="1" applyFill="1" applyBorder="1"/>
    <xf numFmtId="0" fontId="15" fillId="0" borderId="0" xfId="0" applyNumberFormat="1" applyFont="1"/>
    <xf numFmtId="0" fontId="0" fillId="0" borderId="1" xfId="0" applyNumberFormat="1" applyBorder="1"/>
    <xf numFmtId="0" fontId="8" fillId="2" borderId="1" xfId="0" applyNumberFormat="1" applyFont="1" applyFill="1" applyBorder="1"/>
    <xf numFmtId="0" fontId="0" fillId="0" borderId="2" xfId="0" applyNumberFormat="1" applyBorder="1"/>
    <xf numFmtId="0" fontId="8" fillId="2" borderId="2" xfId="0" applyNumberFormat="1" applyFont="1" applyFill="1" applyBorder="1"/>
    <xf numFmtId="0" fontId="1" fillId="5" borderId="3" xfId="0" applyNumberFormat="1" applyFont="1" applyFill="1" applyBorder="1"/>
    <xf numFmtId="0" fontId="0" fillId="5" borderId="3" xfId="0" applyNumberFormat="1" applyFill="1" applyBorder="1"/>
    <xf numFmtId="175" fontId="19" fillId="0" borderId="8" xfId="0" applyNumberFormat="1" applyFont="1" applyBorder="1" applyAlignment="1">
      <alignment horizontal="left" vertical="center"/>
    </xf>
    <xf numFmtId="175" fontId="20" fillId="0" borderId="8" xfId="0" applyNumberFormat="1" applyFont="1" applyBorder="1" applyAlignment="1">
      <alignment horizontal="left" vertical="center"/>
    </xf>
    <xf numFmtId="176" fontId="19" fillId="0" borderId="8" xfId="0" applyNumberFormat="1" applyFont="1" applyBorder="1" applyAlignment="1">
      <alignment horizontal="left" vertical="center"/>
    </xf>
    <xf numFmtId="176" fontId="20" fillId="0" borderId="9" xfId="0" applyNumberFormat="1" applyFont="1" applyBorder="1" applyAlignment="1">
      <alignment horizontal="left" vertical="center"/>
    </xf>
    <xf numFmtId="176" fontId="5" fillId="6" borderId="25" xfId="0" applyNumberFormat="1" applyFont="1" applyFill="1" applyBorder="1" applyAlignment="1">
      <alignment horizontal="left" vertical="center"/>
    </xf>
    <xf numFmtId="175" fontId="19" fillId="9" borderId="8" xfId="0" applyNumberFormat="1" applyFont="1" applyFill="1" applyBorder="1" applyAlignment="1">
      <alignment horizontal="left" vertical="center"/>
    </xf>
    <xf numFmtId="175" fontId="20" fillId="9" borderId="8" xfId="0" applyNumberFormat="1" applyFont="1" applyFill="1" applyBorder="1" applyAlignment="1">
      <alignment horizontal="left" vertical="center"/>
    </xf>
    <xf numFmtId="176" fontId="19" fillId="9" borderId="8" xfId="0" applyNumberFormat="1" applyFont="1" applyFill="1" applyBorder="1" applyAlignment="1">
      <alignment horizontal="left" vertical="center"/>
    </xf>
    <xf numFmtId="176" fontId="20" fillId="9" borderId="9" xfId="0" applyNumberFormat="1" applyFont="1" applyFill="1" applyBorder="1" applyAlignment="1">
      <alignment horizontal="left" vertical="center"/>
    </xf>
    <xf numFmtId="175" fontId="19" fillId="0" borderId="26" xfId="0" applyNumberFormat="1" applyFont="1" applyBorder="1" applyAlignment="1">
      <alignment horizontal="left" vertical="center"/>
    </xf>
    <xf numFmtId="175" fontId="20" fillId="0" borderId="26" xfId="0" applyNumberFormat="1" applyFont="1" applyBorder="1" applyAlignment="1">
      <alignment horizontal="left" vertical="center"/>
    </xf>
    <xf numFmtId="175" fontId="19" fillId="0" borderId="23" xfId="0" applyNumberFormat="1" applyFont="1" applyBorder="1" applyAlignment="1">
      <alignment horizontal="left" vertical="center"/>
    </xf>
    <xf numFmtId="176" fontId="19" fillId="0" borderId="11" xfId="0" applyNumberFormat="1" applyFont="1" applyBorder="1" applyAlignment="1">
      <alignment horizontal="left" vertical="center"/>
    </xf>
    <xf numFmtId="176" fontId="20" fillId="0" borderId="12" xfId="0" applyNumberFormat="1" applyFont="1" applyBorder="1" applyAlignment="1">
      <alignment horizontal="left" vertical="center"/>
    </xf>
    <xf numFmtId="175" fontId="21" fillId="0" borderId="0" xfId="0" applyNumberFormat="1" applyFont="1" applyAlignment="1">
      <alignment horizontal="left" vertical="center"/>
    </xf>
    <xf numFmtId="176" fontId="21" fillId="2" borderId="0" xfId="0" applyNumberFormat="1"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8972B85-B933-4FE5-9188-C3B8E5F04BE4}">
  <we:reference id="WA200009404" version="1.0.0.8" store="Omex" storeType="OMEX"/>
  <we:alternateReferences>
    <we:reference id="WA200009404" version="1.0.0.8" store="WA200009404" storeType="OMEX"/>
  </we:alternateReferences>
  <we:properties>
    <we:property name="claude.fileId" value="&quot;ce827552-6617-402b-a6fe-5a6d5960540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ED92-030D-460E-84C6-59D7B0E5B10A}">
  <dimension ref="A1:Q91"/>
  <sheetViews>
    <sheetView workbookViewId="0">
      <pane ySplit="4" topLeftCell="A44" activePane="bottomLeft" state="frozen"/>
      <selection pane="bottomLeft" activeCell="D42" sqref="D42:D58"/>
    </sheetView>
  </sheetViews>
  <sheetFormatPr defaultColWidth="14.109375" defaultRowHeight="14.4" x14ac:dyDescent="0.3"/>
  <cols>
    <col min="1" max="1" width="35.21875" customWidth="1"/>
    <col min="2" max="2" width="12.5546875" customWidth="1"/>
    <col min="3" max="3" width="21.88671875" customWidth="1"/>
    <col min="4" max="4" width="27.44140625" customWidth="1"/>
    <col min="5" max="5" width="15.88671875" customWidth="1"/>
    <col min="6" max="6" width="15.21875" customWidth="1"/>
    <col min="7" max="7" width="14.44140625" customWidth="1"/>
    <col min="8" max="8" width="16.33203125" customWidth="1"/>
    <col min="9" max="9" width="17" customWidth="1"/>
    <col min="10" max="10" width="20.77734375" customWidth="1"/>
    <col min="11" max="11" width="23.6640625" customWidth="1"/>
    <col min="12" max="12" width="25.88671875" customWidth="1"/>
    <col min="13" max="13" width="46.33203125" customWidth="1"/>
    <col min="14" max="14" width="44.44140625" customWidth="1"/>
    <col min="15" max="15" width="51.88671875" customWidth="1"/>
    <col min="16" max="16" width="63" customWidth="1"/>
    <col min="17" max="17" width="46.33203125" customWidth="1"/>
  </cols>
  <sheetData>
    <row r="1" spans="1:17" ht="18" x14ac:dyDescent="0.35">
      <c r="A1" s="33" t="s">
        <v>0</v>
      </c>
      <c r="B1" s="34"/>
      <c r="C1" s="34"/>
      <c r="D1" s="34"/>
      <c r="E1" s="34"/>
      <c r="F1" s="34"/>
      <c r="G1" s="34"/>
      <c r="H1" s="34"/>
      <c r="I1" s="34"/>
      <c r="J1" s="34"/>
      <c r="K1" s="34"/>
      <c r="L1" s="34"/>
      <c r="M1" s="34"/>
      <c r="N1" s="34"/>
      <c r="O1" s="34"/>
      <c r="P1" s="34"/>
      <c r="Q1" s="34"/>
    </row>
    <row r="2" spans="1:17" x14ac:dyDescent="0.3">
      <c r="A2" s="35" t="s">
        <v>1</v>
      </c>
      <c r="B2" s="34"/>
      <c r="C2" s="34"/>
      <c r="D2" s="34"/>
      <c r="E2" s="34"/>
      <c r="F2" s="34"/>
      <c r="G2" s="34"/>
      <c r="H2" s="34"/>
      <c r="I2" s="34"/>
      <c r="J2" s="34"/>
      <c r="K2" s="34"/>
      <c r="L2" s="34"/>
      <c r="M2" s="34"/>
      <c r="N2" s="34"/>
      <c r="O2" s="34"/>
      <c r="P2" s="34"/>
      <c r="Q2" s="34"/>
    </row>
    <row r="3" spans="1:17" x14ac:dyDescent="0.3">
      <c r="A3" s="34"/>
      <c r="B3" s="34"/>
      <c r="C3" s="34"/>
      <c r="D3" s="34"/>
      <c r="E3" s="34"/>
      <c r="F3" s="34"/>
      <c r="G3" s="34"/>
      <c r="H3" s="34"/>
      <c r="I3" s="34"/>
      <c r="J3" s="34"/>
      <c r="K3" s="34"/>
      <c r="L3" s="34"/>
      <c r="M3" s="34"/>
      <c r="N3" s="34"/>
      <c r="O3" s="34"/>
      <c r="P3" s="34"/>
      <c r="Q3" s="34"/>
    </row>
    <row r="4" spans="1:17" ht="27.6" x14ac:dyDescent="0.3">
      <c r="A4" s="36" t="s">
        <v>2</v>
      </c>
      <c r="B4" s="36" t="s">
        <v>3</v>
      </c>
      <c r="C4" s="36" t="s">
        <v>4</v>
      </c>
      <c r="D4" s="36" t="s">
        <v>5</v>
      </c>
      <c r="E4" s="36" t="s">
        <v>6</v>
      </c>
      <c r="F4" s="36" t="s">
        <v>7</v>
      </c>
      <c r="G4" s="36" t="s">
        <v>8</v>
      </c>
      <c r="H4" s="36" t="s">
        <v>9</v>
      </c>
      <c r="I4" s="36" t="s">
        <v>10</v>
      </c>
      <c r="J4" s="36" t="s">
        <v>11</v>
      </c>
      <c r="K4" s="36" t="s">
        <v>216</v>
      </c>
      <c r="L4" s="36" t="s">
        <v>217</v>
      </c>
      <c r="M4" s="36" t="s">
        <v>12</v>
      </c>
      <c r="N4" s="36" t="s">
        <v>13</v>
      </c>
      <c r="O4" s="36" t="s">
        <v>14</v>
      </c>
      <c r="P4" s="36" t="s">
        <v>15</v>
      </c>
      <c r="Q4" s="36" t="s">
        <v>16</v>
      </c>
    </row>
    <row r="5" spans="1:17" x14ac:dyDescent="0.3">
      <c r="A5" s="37" t="s">
        <v>17</v>
      </c>
      <c r="B5" s="38" t="s">
        <v>18</v>
      </c>
      <c r="C5" s="39" t="s">
        <v>19</v>
      </c>
      <c r="D5" s="39" t="s">
        <v>20</v>
      </c>
      <c r="E5" s="38" t="s">
        <v>21</v>
      </c>
      <c r="F5" s="38" t="s">
        <v>22</v>
      </c>
      <c r="G5" s="38" t="s">
        <v>23</v>
      </c>
      <c r="H5" s="38" t="s">
        <v>23</v>
      </c>
      <c r="I5" s="8" t="s">
        <v>234</v>
      </c>
      <c r="J5" s="39" t="s">
        <v>219</v>
      </c>
      <c r="K5" s="40" t="s">
        <v>218</v>
      </c>
      <c r="L5" s="40"/>
      <c r="M5" s="39" t="s">
        <v>25</v>
      </c>
      <c r="N5" s="39" t="s">
        <v>207</v>
      </c>
      <c r="O5" s="39" t="s">
        <v>209</v>
      </c>
      <c r="P5" s="39" t="s">
        <v>211</v>
      </c>
      <c r="Q5" s="41" t="s">
        <v>213</v>
      </c>
    </row>
    <row r="6" spans="1:17" x14ac:dyDescent="0.3">
      <c r="A6" s="42" t="s">
        <v>26</v>
      </c>
      <c r="B6" s="43" t="s">
        <v>27</v>
      </c>
      <c r="C6" s="44" t="s">
        <v>28</v>
      </c>
      <c r="D6" s="44" t="s">
        <v>29</v>
      </c>
      <c r="E6" s="43" t="s">
        <v>21</v>
      </c>
      <c r="F6" s="43" t="s">
        <v>30</v>
      </c>
      <c r="G6" s="43" t="s">
        <v>23</v>
      </c>
      <c r="H6" s="43" t="s">
        <v>23</v>
      </c>
      <c r="I6" s="9" t="s">
        <v>235</v>
      </c>
      <c r="J6" s="44" t="s">
        <v>219</v>
      </c>
      <c r="K6" s="45" t="s">
        <v>218</v>
      </c>
      <c r="L6" s="45"/>
      <c r="M6" s="44" t="s">
        <v>25</v>
      </c>
      <c r="N6" s="44" t="s">
        <v>207</v>
      </c>
      <c r="O6" s="44" t="s">
        <v>208</v>
      </c>
      <c r="P6" s="44" t="s">
        <v>211</v>
      </c>
      <c r="Q6" s="46" t="s">
        <v>213</v>
      </c>
    </row>
    <row r="7" spans="1:17" x14ac:dyDescent="0.3">
      <c r="A7" s="42" t="s">
        <v>31</v>
      </c>
      <c r="B7" s="43" t="s">
        <v>32</v>
      </c>
      <c r="C7" s="44" t="s">
        <v>33</v>
      </c>
      <c r="D7" s="44" t="s">
        <v>34</v>
      </c>
      <c r="E7" s="43" t="s">
        <v>23</v>
      </c>
      <c r="F7" s="43" t="s">
        <v>35</v>
      </c>
      <c r="G7" s="43" t="s">
        <v>23</v>
      </c>
      <c r="H7" s="43" t="s">
        <v>23</v>
      </c>
      <c r="I7" s="9" t="s">
        <v>236</v>
      </c>
      <c r="J7" s="44" t="s">
        <v>219</v>
      </c>
      <c r="K7" s="45">
        <v>120</v>
      </c>
      <c r="L7" s="45">
        <v>120</v>
      </c>
      <c r="M7" s="44" t="s">
        <v>215</v>
      </c>
      <c r="N7" s="44" t="s">
        <v>207</v>
      </c>
      <c r="O7" s="44" t="s">
        <v>210</v>
      </c>
      <c r="P7" s="44" t="s">
        <v>212</v>
      </c>
      <c r="Q7" s="46" t="s">
        <v>214</v>
      </c>
    </row>
    <row r="8" spans="1:17" x14ac:dyDescent="0.3">
      <c r="A8" s="42" t="s">
        <v>36</v>
      </c>
      <c r="B8" s="43" t="s">
        <v>37</v>
      </c>
      <c r="C8" s="44" t="s">
        <v>28</v>
      </c>
      <c r="D8" s="44" t="s">
        <v>38</v>
      </c>
      <c r="E8" s="43" t="s">
        <v>21</v>
      </c>
      <c r="F8" s="43" t="s">
        <v>30</v>
      </c>
      <c r="G8" s="43" t="s">
        <v>23</v>
      </c>
      <c r="H8" s="43" t="s">
        <v>23</v>
      </c>
      <c r="I8" s="9" t="s">
        <v>236</v>
      </c>
      <c r="J8" s="44" t="s">
        <v>219</v>
      </c>
      <c r="K8" s="45" t="s">
        <v>218</v>
      </c>
      <c r="L8" s="45"/>
      <c r="M8" s="44" t="s">
        <v>25</v>
      </c>
      <c r="N8" s="44" t="s">
        <v>207</v>
      </c>
      <c r="O8" s="44" t="s">
        <v>208</v>
      </c>
      <c r="P8" s="44" t="s">
        <v>211</v>
      </c>
      <c r="Q8" s="46" t="s">
        <v>213</v>
      </c>
    </row>
    <row r="9" spans="1:17" x14ac:dyDescent="0.3">
      <c r="A9" s="42" t="s">
        <v>39</v>
      </c>
      <c r="B9" s="43" t="s">
        <v>40</v>
      </c>
      <c r="C9" s="44" t="s">
        <v>33</v>
      </c>
      <c r="D9" s="44" t="s">
        <v>34</v>
      </c>
      <c r="E9" s="43" t="s">
        <v>23</v>
      </c>
      <c r="F9" s="43" t="s">
        <v>35</v>
      </c>
      <c r="G9" s="43" t="s">
        <v>23</v>
      </c>
      <c r="H9" s="43" t="s">
        <v>23</v>
      </c>
      <c r="I9" s="9" t="s">
        <v>236</v>
      </c>
      <c r="J9" s="44" t="s">
        <v>219</v>
      </c>
      <c r="K9" s="45" t="s">
        <v>218</v>
      </c>
      <c r="L9" s="45"/>
      <c r="M9" s="44" t="s">
        <v>215</v>
      </c>
      <c r="N9" s="44" t="s">
        <v>207</v>
      </c>
      <c r="O9" s="44" t="s">
        <v>210</v>
      </c>
      <c r="P9" s="44" t="s">
        <v>212</v>
      </c>
      <c r="Q9" s="46" t="s">
        <v>214</v>
      </c>
    </row>
    <row r="10" spans="1:17" x14ac:dyDescent="0.3">
      <c r="A10" s="42" t="s">
        <v>41</v>
      </c>
      <c r="B10" s="43" t="s">
        <v>42</v>
      </c>
      <c r="C10" s="44" t="s">
        <v>43</v>
      </c>
      <c r="D10" s="44" t="s">
        <v>44</v>
      </c>
      <c r="E10" s="43" t="s">
        <v>21</v>
      </c>
      <c r="F10" s="43" t="s">
        <v>45</v>
      </c>
      <c r="G10" s="43" t="s">
        <v>23</v>
      </c>
      <c r="H10" s="43" t="s">
        <v>23</v>
      </c>
      <c r="I10" s="9" t="s">
        <v>234</v>
      </c>
      <c r="J10" s="44" t="s">
        <v>219</v>
      </c>
      <c r="K10" s="45">
        <v>50</v>
      </c>
      <c r="L10" s="45"/>
      <c r="M10" s="44" t="s">
        <v>25</v>
      </c>
      <c r="N10" s="44" t="s">
        <v>208</v>
      </c>
      <c r="O10" s="44" t="s">
        <v>208</v>
      </c>
      <c r="P10" s="44" t="s">
        <v>211</v>
      </c>
      <c r="Q10" s="46" t="s">
        <v>213</v>
      </c>
    </row>
    <row r="11" spans="1:17" x14ac:dyDescent="0.3">
      <c r="A11" s="42" t="s">
        <v>46</v>
      </c>
      <c r="B11" s="43" t="s">
        <v>47</v>
      </c>
      <c r="C11" s="44" t="s">
        <v>33</v>
      </c>
      <c r="D11" s="44" t="s">
        <v>48</v>
      </c>
      <c r="E11" s="43" t="s">
        <v>21</v>
      </c>
      <c r="F11" s="43" t="s">
        <v>45</v>
      </c>
      <c r="G11" s="43" t="s">
        <v>23</v>
      </c>
      <c r="H11" s="43" t="s">
        <v>23</v>
      </c>
      <c r="I11" s="9" t="s">
        <v>236</v>
      </c>
      <c r="J11" s="44" t="s">
        <v>219</v>
      </c>
      <c r="K11" s="45" t="s">
        <v>218</v>
      </c>
      <c r="L11" s="45"/>
      <c r="M11" s="44" t="s">
        <v>25</v>
      </c>
      <c r="N11" s="44" t="s">
        <v>208</v>
      </c>
      <c r="O11" s="44" t="s">
        <v>208</v>
      </c>
      <c r="P11" s="44" t="s">
        <v>211</v>
      </c>
      <c r="Q11" s="46" t="s">
        <v>213</v>
      </c>
    </row>
    <row r="12" spans="1:17" x14ac:dyDescent="0.3">
      <c r="A12" s="42" t="s">
        <v>49</v>
      </c>
      <c r="B12" s="43" t="s">
        <v>50</v>
      </c>
      <c r="C12" s="44" t="s">
        <v>51</v>
      </c>
      <c r="D12" s="44" t="s">
        <v>34</v>
      </c>
      <c r="E12" s="43" t="s">
        <v>23</v>
      </c>
      <c r="F12" s="43" t="s">
        <v>35</v>
      </c>
      <c r="G12" s="43" t="s">
        <v>23</v>
      </c>
      <c r="H12" s="43" t="s">
        <v>23</v>
      </c>
      <c r="I12" s="9" t="s">
        <v>234</v>
      </c>
      <c r="J12" s="44" t="s">
        <v>219</v>
      </c>
      <c r="K12" s="45" t="s">
        <v>218</v>
      </c>
      <c r="L12" s="45"/>
      <c r="M12" s="44" t="s">
        <v>215</v>
      </c>
      <c r="N12" s="44" t="s">
        <v>207</v>
      </c>
      <c r="O12" s="44" t="s">
        <v>210</v>
      </c>
      <c r="P12" s="44" t="s">
        <v>226</v>
      </c>
      <c r="Q12" s="46" t="s">
        <v>214</v>
      </c>
    </row>
    <row r="13" spans="1:17" x14ac:dyDescent="0.3">
      <c r="A13" s="42" t="s">
        <v>52</v>
      </c>
      <c r="B13" s="43" t="s">
        <v>53</v>
      </c>
      <c r="C13" s="44" t="s">
        <v>51</v>
      </c>
      <c r="D13" s="44" t="s">
        <v>34</v>
      </c>
      <c r="E13" s="43" t="s">
        <v>23</v>
      </c>
      <c r="F13" s="43" t="s">
        <v>35</v>
      </c>
      <c r="G13" s="43" t="s">
        <v>23</v>
      </c>
      <c r="H13" s="43" t="s">
        <v>23</v>
      </c>
      <c r="I13" s="9" t="s">
        <v>234</v>
      </c>
      <c r="J13" s="44" t="s">
        <v>221</v>
      </c>
      <c r="K13" s="45" t="s">
        <v>220</v>
      </c>
      <c r="L13" s="45"/>
      <c r="M13" s="44" t="s">
        <v>215</v>
      </c>
      <c r="N13" s="44" t="s">
        <v>207</v>
      </c>
      <c r="O13" s="44" t="s">
        <v>210</v>
      </c>
      <c r="P13" s="44" t="s">
        <v>212</v>
      </c>
      <c r="Q13" s="46" t="s">
        <v>214</v>
      </c>
    </row>
    <row r="14" spans="1:17" x14ac:dyDescent="0.3">
      <c r="A14" s="42" t="s">
        <v>54</v>
      </c>
      <c r="B14" s="43" t="s">
        <v>55</v>
      </c>
      <c r="C14" s="44" t="s">
        <v>51</v>
      </c>
      <c r="D14" s="44" t="s">
        <v>34</v>
      </c>
      <c r="E14" s="43" t="s">
        <v>23</v>
      </c>
      <c r="F14" s="43" t="s">
        <v>22</v>
      </c>
      <c r="G14" s="43" t="s">
        <v>23</v>
      </c>
      <c r="H14" s="43" t="s">
        <v>23</v>
      </c>
      <c r="I14" s="9" t="s">
        <v>234</v>
      </c>
      <c r="J14" s="44" t="s">
        <v>219</v>
      </c>
      <c r="K14" s="45" t="s">
        <v>218</v>
      </c>
      <c r="L14" s="45"/>
      <c r="M14" s="44" t="s">
        <v>215</v>
      </c>
      <c r="N14" s="44" t="s">
        <v>207</v>
      </c>
      <c r="O14" s="44" t="s">
        <v>209</v>
      </c>
      <c r="P14" s="44" t="s">
        <v>212</v>
      </c>
      <c r="Q14" s="46" t="s">
        <v>214</v>
      </c>
    </row>
    <row r="15" spans="1:17" x14ac:dyDescent="0.3">
      <c r="A15" s="42" t="s">
        <v>56</v>
      </c>
      <c r="B15" s="43" t="s">
        <v>57</v>
      </c>
      <c r="C15" s="44" t="s">
        <v>43</v>
      </c>
      <c r="D15" s="44" t="s">
        <v>34</v>
      </c>
      <c r="E15" s="43" t="s">
        <v>23</v>
      </c>
      <c r="F15" s="43" t="s">
        <v>45</v>
      </c>
      <c r="G15" s="43" t="s">
        <v>23</v>
      </c>
      <c r="H15" s="43" t="s">
        <v>23</v>
      </c>
      <c r="I15" s="9" t="s">
        <v>234</v>
      </c>
      <c r="J15" s="44" t="s">
        <v>219</v>
      </c>
      <c r="K15" s="45" t="s">
        <v>230</v>
      </c>
      <c r="L15" s="45"/>
      <c r="M15" s="44" t="s">
        <v>215</v>
      </c>
      <c r="N15" s="44" t="s">
        <v>208</v>
      </c>
      <c r="O15" s="44" t="s">
        <v>208</v>
      </c>
      <c r="P15" s="44" t="s">
        <v>212</v>
      </c>
      <c r="Q15" s="46" t="s">
        <v>214</v>
      </c>
    </row>
    <row r="16" spans="1:17" x14ac:dyDescent="0.3">
      <c r="A16" s="42" t="s">
        <v>58</v>
      </c>
      <c r="B16" s="43" t="s">
        <v>59</v>
      </c>
      <c r="C16" s="44" t="s">
        <v>51</v>
      </c>
      <c r="D16" s="44" t="s">
        <v>34</v>
      </c>
      <c r="E16" s="43" t="s">
        <v>23</v>
      </c>
      <c r="F16" s="43" t="s">
        <v>35</v>
      </c>
      <c r="G16" s="43" t="s">
        <v>23</v>
      </c>
      <c r="H16" s="43" t="s">
        <v>23</v>
      </c>
      <c r="I16" s="9" t="s">
        <v>234</v>
      </c>
      <c r="J16" s="44" t="s">
        <v>229</v>
      </c>
      <c r="K16" s="45" t="s">
        <v>228</v>
      </c>
      <c r="L16" s="45"/>
      <c r="M16" s="44" t="s">
        <v>215</v>
      </c>
      <c r="N16" s="44" t="s">
        <v>207</v>
      </c>
      <c r="O16" s="44" t="s">
        <v>210</v>
      </c>
      <c r="P16" s="44" t="s">
        <v>212</v>
      </c>
      <c r="Q16" s="46" t="s">
        <v>214</v>
      </c>
    </row>
    <row r="17" spans="1:17" x14ac:dyDescent="0.3">
      <c r="A17" s="42" t="s">
        <v>60</v>
      </c>
      <c r="B17" s="43" t="s">
        <v>61</v>
      </c>
      <c r="C17" s="44" t="s">
        <v>51</v>
      </c>
      <c r="D17" s="44" t="s">
        <v>62</v>
      </c>
      <c r="E17" s="43" t="s">
        <v>21</v>
      </c>
      <c r="F17" s="43" t="s">
        <v>30</v>
      </c>
      <c r="G17" s="43" t="s">
        <v>23</v>
      </c>
      <c r="H17" s="43" t="s">
        <v>23</v>
      </c>
      <c r="I17" s="9" t="s">
        <v>235</v>
      </c>
      <c r="J17" s="44" t="s">
        <v>219</v>
      </c>
      <c r="K17" s="45" t="s">
        <v>218</v>
      </c>
      <c r="L17" s="45"/>
      <c r="M17" s="44" t="s">
        <v>25</v>
      </c>
      <c r="N17" s="44" t="s">
        <v>207</v>
      </c>
      <c r="O17" s="44" t="s">
        <v>208</v>
      </c>
      <c r="P17" s="44" t="s">
        <v>211</v>
      </c>
      <c r="Q17" s="46" t="s">
        <v>213</v>
      </c>
    </row>
    <row r="18" spans="1:17" x14ac:dyDescent="0.3">
      <c r="A18" s="42" t="s">
        <v>63</v>
      </c>
      <c r="B18" s="43" t="s">
        <v>64</v>
      </c>
      <c r="C18" s="44" t="s">
        <v>33</v>
      </c>
      <c r="D18" s="44" t="s">
        <v>34</v>
      </c>
      <c r="E18" s="43" t="s">
        <v>23</v>
      </c>
      <c r="F18" s="43" t="s">
        <v>35</v>
      </c>
      <c r="G18" s="43" t="s">
        <v>23</v>
      </c>
      <c r="H18" s="43" t="s">
        <v>23</v>
      </c>
      <c r="I18" s="9" t="s">
        <v>234</v>
      </c>
      <c r="J18" s="44" t="s">
        <v>219</v>
      </c>
      <c r="K18" s="45">
        <v>200</v>
      </c>
      <c r="L18" s="45"/>
      <c r="M18" s="44" t="s">
        <v>215</v>
      </c>
      <c r="N18" s="44" t="s">
        <v>207</v>
      </c>
      <c r="O18" s="44" t="s">
        <v>210</v>
      </c>
      <c r="P18" s="44" t="s">
        <v>212</v>
      </c>
      <c r="Q18" s="46" t="s">
        <v>214</v>
      </c>
    </row>
    <row r="19" spans="1:17" x14ac:dyDescent="0.3">
      <c r="A19" s="42" t="s">
        <v>65</v>
      </c>
      <c r="B19" s="43" t="s">
        <v>66</v>
      </c>
      <c r="C19" s="44" t="s">
        <v>43</v>
      </c>
      <c r="D19" s="44" t="s">
        <v>67</v>
      </c>
      <c r="E19" s="43" t="s">
        <v>21</v>
      </c>
      <c r="F19" s="43" t="s">
        <v>22</v>
      </c>
      <c r="G19" s="43" t="s">
        <v>23</v>
      </c>
      <c r="H19" s="43" t="s">
        <v>23</v>
      </c>
      <c r="I19" s="9" t="s">
        <v>234</v>
      </c>
      <c r="J19" s="44" t="s">
        <v>219</v>
      </c>
      <c r="K19" s="45" t="s">
        <v>218</v>
      </c>
      <c r="L19" s="45"/>
      <c r="M19" s="44" t="s">
        <v>25</v>
      </c>
      <c r="N19" s="44" t="s">
        <v>207</v>
      </c>
      <c r="O19" s="44" t="s">
        <v>209</v>
      </c>
      <c r="P19" s="44" t="s">
        <v>211</v>
      </c>
      <c r="Q19" s="46" t="s">
        <v>213</v>
      </c>
    </row>
    <row r="20" spans="1:17" x14ac:dyDescent="0.3">
      <c r="A20" s="42" t="s">
        <v>68</v>
      </c>
      <c r="B20" s="43" t="s">
        <v>69</v>
      </c>
      <c r="C20" s="44" t="s">
        <v>19</v>
      </c>
      <c r="D20" s="44" t="s">
        <v>70</v>
      </c>
      <c r="E20" s="43" t="s">
        <v>21</v>
      </c>
      <c r="F20" s="43" t="s">
        <v>22</v>
      </c>
      <c r="G20" s="43" t="s">
        <v>23</v>
      </c>
      <c r="H20" s="43" t="s">
        <v>23</v>
      </c>
      <c r="I20" s="9" t="s">
        <v>237</v>
      </c>
      <c r="J20" s="44" t="s">
        <v>221</v>
      </c>
      <c r="K20" s="45" t="s">
        <v>218</v>
      </c>
      <c r="L20" s="45"/>
      <c r="M20" s="44" t="s">
        <v>25</v>
      </c>
      <c r="N20" s="44" t="s">
        <v>207</v>
      </c>
      <c r="O20" s="44" t="s">
        <v>209</v>
      </c>
      <c r="P20" s="44" t="s">
        <v>211</v>
      </c>
      <c r="Q20" s="46" t="s">
        <v>213</v>
      </c>
    </row>
    <row r="21" spans="1:17" x14ac:dyDescent="0.3">
      <c r="A21" s="42" t="s">
        <v>71</v>
      </c>
      <c r="B21" s="43" t="s">
        <v>72</v>
      </c>
      <c r="C21" s="44" t="s">
        <v>51</v>
      </c>
      <c r="D21" s="44" t="s">
        <v>34</v>
      </c>
      <c r="E21" s="43" t="s">
        <v>23</v>
      </c>
      <c r="F21" s="43" t="s">
        <v>35</v>
      </c>
      <c r="G21" s="43" t="s">
        <v>23</v>
      </c>
      <c r="H21" s="43" t="s">
        <v>23</v>
      </c>
      <c r="I21" s="9" t="s">
        <v>235</v>
      </c>
      <c r="J21" s="44" t="s">
        <v>219</v>
      </c>
      <c r="K21" s="45" t="s">
        <v>218</v>
      </c>
      <c r="L21" s="45"/>
      <c r="M21" s="44" t="s">
        <v>215</v>
      </c>
      <c r="N21" s="44" t="s">
        <v>207</v>
      </c>
      <c r="O21" s="44" t="s">
        <v>210</v>
      </c>
      <c r="P21" s="44" t="s">
        <v>212</v>
      </c>
      <c r="Q21" s="46" t="s">
        <v>214</v>
      </c>
    </row>
    <row r="22" spans="1:17" x14ac:dyDescent="0.3">
      <c r="A22" s="42" t="s">
        <v>73</v>
      </c>
      <c r="B22" s="43" t="s">
        <v>74</v>
      </c>
      <c r="C22" s="44" t="s">
        <v>43</v>
      </c>
      <c r="D22" s="44" t="s">
        <v>75</v>
      </c>
      <c r="E22" s="43" t="s">
        <v>21</v>
      </c>
      <c r="F22" s="43" t="s">
        <v>45</v>
      </c>
      <c r="G22" s="43" t="s">
        <v>23</v>
      </c>
      <c r="H22" s="43" t="s">
        <v>23</v>
      </c>
      <c r="I22" s="9" t="s">
        <v>238</v>
      </c>
      <c r="J22" s="44" t="s">
        <v>219</v>
      </c>
      <c r="K22" s="45" t="s">
        <v>218</v>
      </c>
      <c r="L22" s="45"/>
      <c r="M22" s="44" t="s">
        <v>25</v>
      </c>
      <c r="N22" s="44" t="s">
        <v>208</v>
      </c>
      <c r="O22" s="44" t="s">
        <v>208</v>
      </c>
      <c r="P22" s="44" t="s">
        <v>211</v>
      </c>
      <c r="Q22" s="46" t="s">
        <v>213</v>
      </c>
    </row>
    <row r="23" spans="1:17" x14ac:dyDescent="0.3">
      <c r="A23" s="42" t="s">
        <v>76</v>
      </c>
      <c r="B23" s="43" t="s">
        <v>77</v>
      </c>
      <c r="C23" s="44" t="s">
        <v>28</v>
      </c>
      <c r="D23" s="44" t="s">
        <v>78</v>
      </c>
      <c r="E23" s="43" t="s">
        <v>21</v>
      </c>
      <c r="F23" s="43" t="s">
        <v>30</v>
      </c>
      <c r="G23" s="43" t="s">
        <v>23</v>
      </c>
      <c r="H23" s="43" t="s">
        <v>23</v>
      </c>
      <c r="I23" s="9" t="s">
        <v>234</v>
      </c>
      <c r="J23" s="44" t="s">
        <v>219</v>
      </c>
      <c r="K23" s="45" t="s">
        <v>218</v>
      </c>
      <c r="L23" s="45"/>
      <c r="M23" s="44" t="s">
        <v>25</v>
      </c>
      <c r="N23" s="44" t="s">
        <v>207</v>
      </c>
      <c r="O23" s="44" t="s">
        <v>208</v>
      </c>
      <c r="P23" s="44" t="s">
        <v>211</v>
      </c>
      <c r="Q23" s="46" t="s">
        <v>213</v>
      </c>
    </row>
    <row r="24" spans="1:17" x14ac:dyDescent="0.3">
      <c r="A24" s="42" t="s">
        <v>79</v>
      </c>
      <c r="B24" s="43" t="s">
        <v>80</v>
      </c>
      <c r="C24" s="44" t="s">
        <v>43</v>
      </c>
      <c r="D24" s="44" t="s">
        <v>75</v>
      </c>
      <c r="E24" s="43" t="s">
        <v>21</v>
      </c>
      <c r="F24" s="43" t="s">
        <v>22</v>
      </c>
      <c r="G24" s="43" t="s">
        <v>23</v>
      </c>
      <c r="H24" s="43" t="s">
        <v>23</v>
      </c>
      <c r="I24" s="9" t="s">
        <v>234</v>
      </c>
      <c r="J24" s="44" t="s">
        <v>219</v>
      </c>
      <c r="K24" s="45">
        <v>40</v>
      </c>
      <c r="L24" s="45"/>
      <c r="M24" s="44" t="s">
        <v>25</v>
      </c>
      <c r="N24" s="44" t="s">
        <v>207</v>
      </c>
      <c r="O24" s="44" t="s">
        <v>209</v>
      </c>
      <c r="P24" s="44" t="s">
        <v>211</v>
      </c>
      <c r="Q24" s="46" t="s">
        <v>213</v>
      </c>
    </row>
    <row r="25" spans="1:17" x14ac:dyDescent="0.3">
      <c r="A25" s="42" t="s">
        <v>81</v>
      </c>
      <c r="B25" s="43" t="s">
        <v>82</v>
      </c>
      <c r="C25" s="44" t="s">
        <v>51</v>
      </c>
      <c r="D25" s="44" t="s">
        <v>34</v>
      </c>
      <c r="E25" s="43" t="s">
        <v>23</v>
      </c>
      <c r="F25" s="43" t="s">
        <v>35</v>
      </c>
      <c r="G25" s="43" t="s">
        <v>23</v>
      </c>
      <c r="H25" s="43" t="s">
        <v>23</v>
      </c>
      <c r="I25" s="9" t="s">
        <v>234</v>
      </c>
      <c r="J25" s="44" t="s">
        <v>223</v>
      </c>
      <c r="K25" s="45">
        <v>275</v>
      </c>
      <c r="L25" s="45"/>
      <c r="M25" s="44" t="s">
        <v>215</v>
      </c>
      <c r="N25" s="44" t="s">
        <v>207</v>
      </c>
      <c r="O25" s="44" t="s">
        <v>210</v>
      </c>
      <c r="P25" s="44" t="s">
        <v>212</v>
      </c>
      <c r="Q25" s="46" t="s">
        <v>214</v>
      </c>
    </row>
    <row r="26" spans="1:17" x14ac:dyDescent="0.3">
      <c r="A26" s="42" t="s">
        <v>83</v>
      </c>
      <c r="B26" s="43" t="s">
        <v>84</v>
      </c>
      <c r="C26" s="44" t="s">
        <v>33</v>
      </c>
      <c r="D26" s="44" t="s">
        <v>85</v>
      </c>
      <c r="E26" s="43" t="s">
        <v>21</v>
      </c>
      <c r="F26" s="43" t="s">
        <v>35</v>
      </c>
      <c r="G26" s="43" t="s">
        <v>23</v>
      </c>
      <c r="H26" s="43" t="s">
        <v>23</v>
      </c>
      <c r="I26" s="9" t="s">
        <v>236</v>
      </c>
      <c r="J26" s="44" t="s">
        <v>219</v>
      </c>
      <c r="K26" s="45" t="s">
        <v>218</v>
      </c>
      <c r="L26" s="45"/>
      <c r="M26" s="44" t="s">
        <v>25</v>
      </c>
      <c r="N26" s="44" t="s">
        <v>207</v>
      </c>
      <c r="O26" s="44" t="s">
        <v>210</v>
      </c>
      <c r="P26" s="44" t="s">
        <v>211</v>
      </c>
      <c r="Q26" s="46" t="s">
        <v>213</v>
      </c>
    </row>
    <row r="27" spans="1:17" x14ac:dyDescent="0.3">
      <c r="A27" s="42" t="s">
        <v>86</v>
      </c>
      <c r="B27" s="43" t="s">
        <v>87</v>
      </c>
      <c r="C27" s="44" t="s">
        <v>33</v>
      </c>
      <c r="D27" s="44" t="s">
        <v>85</v>
      </c>
      <c r="E27" s="43" t="s">
        <v>21</v>
      </c>
      <c r="F27" s="43" t="s">
        <v>35</v>
      </c>
      <c r="G27" s="43" t="s">
        <v>23</v>
      </c>
      <c r="H27" s="43" t="s">
        <v>23</v>
      </c>
      <c r="I27" s="9" t="s">
        <v>234</v>
      </c>
      <c r="J27" s="44" t="s">
        <v>24</v>
      </c>
      <c r="K27" s="45">
        <v>150</v>
      </c>
      <c r="L27" s="45">
        <v>150</v>
      </c>
      <c r="M27" s="44" t="s">
        <v>25</v>
      </c>
      <c r="N27" s="44" t="s">
        <v>207</v>
      </c>
      <c r="O27" s="44" t="s">
        <v>210</v>
      </c>
      <c r="P27" s="44" t="s">
        <v>211</v>
      </c>
      <c r="Q27" s="46" t="s">
        <v>213</v>
      </c>
    </row>
    <row r="28" spans="1:17" x14ac:dyDescent="0.3">
      <c r="A28" s="42" t="s">
        <v>88</v>
      </c>
      <c r="B28" s="43" t="s">
        <v>89</v>
      </c>
      <c r="C28" s="44" t="s">
        <v>33</v>
      </c>
      <c r="D28" s="44" t="s">
        <v>90</v>
      </c>
      <c r="E28" s="43" t="s">
        <v>21</v>
      </c>
      <c r="F28" s="43" t="s">
        <v>35</v>
      </c>
      <c r="G28" s="43" t="s">
        <v>23</v>
      </c>
      <c r="H28" s="43" t="s">
        <v>23</v>
      </c>
      <c r="I28" s="9" t="s">
        <v>234</v>
      </c>
      <c r="J28" s="44" t="s">
        <v>219</v>
      </c>
      <c r="K28" s="45" t="s">
        <v>218</v>
      </c>
      <c r="L28" s="45"/>
      <c r="M28" s="44" t="s">
        <v>25</v>
      </c>
      <c r="N28" s="44" t="s">
        <v>207</v>
      </c>
      <c r="O28" s="44" t="s">
        <v>210</v>
      </c>
      <c r="P28" s="44" t="s">
        <v>211</v>
      </c>
      <c r="Q28" s="46" t="s">
        <v>213</v>
      </c>
    </row>
    <row r="29" spans="1:17" x14ac:dyDescent="0.3">
      <c r="A29" s="42" t="s">
        <v>91</v>
      </c>
      <c r="B29" s="43" t="s">
        <v>92</v>
      </c>
      <c r="C29" s="44" t="s">
        <v>33</v>
      </c>
      <c r="D29" s="44" t="s">
        <v>34</v>
      </c>
      <c r="E29" s="43" t="s">
        <v>23</v>
      </c>
      <c r="F29" s="43" t="s">
        <v>35</v>
      </c>
      <c r="G29" s="43" t="s">
        <v>23</v>
      </c>
      <c r="H29" s="43" t="s">
        <v>23</v>
      </c>
      <c r="I29" s="9" t="s">
        <v>234</v>
      </c>
      <c r="J29" s="44" t="s">
        <v>219</v>
      </c>
      <c r="K29" s="45" t="s">
        <v>218</v>
      </c>
      <c r="L29" s="45"/>
      <c r="M29" s="44" t="s">
        <v>215</v>
      </c>
      <c r="N29" s="44" t="s">
        <v>207</v>
      </c>
      <c r="O29" s="44" t="s">
        <v>210</v>
      </c>
      <c r="P29" s="44" t="s">
        <v>212</v>
      </c>
      <c r="Q29" s="46" t="s">
        <v>214</v>
      </c>
    </row>
    <row r="30" spans="1:17" x14ac:dyDescent="0.3">
      <c r="A30" s="42" t="s">
        <v>93</v>
      </c>
      <c r="B30" s="43" t="s">
        <v>94</v>
      </c>
      <c r="C30" s="44" t="s">
        <v>43</v>
      </c>
      <c r="D30" s="44" t="s">
        <v>95</v>
      </c>
      <c r="E30" s="43" t="s">
        <v>21</v>
      </c>
      <c r="F30" s="43" t="s">
        <v>45</v>
      </c>
      <c r="G30" s="43" t="s">
        <v>23</v>
      </c>
      <c r="H30" s="43" t="s">
        <v>23</v>
      </c>
      <c r="I30" s="9" t="s">
        <v>234</v>
      </c>
      <c r="J30" s="44" t="s">
        <v>219</v>
      </c>
      <c r="K30" s="45">
        <v>50</v>
      </c>
      <c r="L30" s="45"/>
      <c r="M30" s="44" t="s">
        <v>25</v>
      </c>
      <c r="N30" s="44" t="s">
        <v>208</v>
      </c>
      <c r="O30" s="44" t="s">
        <v>208</v>
      </c>
      <c r="P30" s="44" t="s">
        <v>211</v>
      </c>
      <c r="Q30" s="46" t="s">
        <v>213</v>
      </c>
    </row>
    <row r="31" spans="1:17" x14ac:dyDescent="0.3">
      <c r="A31" s="42" t="s">
        <v>96</v>
      </c>
      <c r="B31" s="43" t="s">
        <v>97</v>
      </c>
      <c r="C31" s="44" t="s">
        <v>28</v>
      </c>
      <c r="D31" s="44" t="s">
        <v>98</v>
      </c>
      <c r="E31" s="43" t="s">
        <v>21</v>
      </c>
      <c r="F31" s="43" t="s">
        <v>30</v>
      </c>
      <c r="G31" s="43" t="s">
        <v>23</v>
      </c>
      <c r="H31" s="43" t="s">
        <v>23</v>
      </c>
      <c r="I31" s="9" t="s">
        <v>234</v>
      </c>
      <c r="J31" s="44" t="s">
        <v>219</v>
      </c>
      <c r="K31" s="45" t="s">
        <v>218</v>
      </c>
      <c r="L31" s="45"/>
      <c r="M31" s="44" t="s">
        <v>25</v>
      </c>
      <c r="N31" s="44" t="s">
        <v>207</v>
      </c>
      <c r="O31" s="44" t="s">
        <v>208</v>
      </c>
      <c r="P31" s="44" t="s">
        <v>211</v>
      </c>
      <c r="Q31" s="46" t="s">
        <v>213</v>
      </c>
    </row>
    <row r="32" spans="1:17" x14ac:dyDescent="0.3">
      <c r="A32" s="42" t="s">
        <v>99</v>
      </c>
      <c r="B32" s="43" t="s">
        <v>100</v>
      </c>
      <c r="C32" s="44" t="s">
        <v>33</v>
      </c>
      <c r="D32" s="44" t="s">
        <v>101</v>
      </c>
      <c r="E32" s="43" t="s">
        <v>21</v>
      </c>
      <c r="F32" s="43" t="s">
        <v>35</v>
      </c>
      <c r="G32" s="43" t="s">
        <v>23</v>
      </c>
      <c r="H32" s="43" t="s">
        <v>23</v>
      </c>
      <c r="I32" s="9" t="s">
        <v>234</v>
      </c>
      <c r="J32" s="44" t="s">
        <v>219</v>
      </c>
      <c r="K32" s="45" t="s">
        <v>218</v>
      </c>
      <c r="L32" s="45"/>
      <c r="M32" s="44" t="s">
        <v>25</v>
      </c>
      <c r="N32" s="44" t="s">
        <v>207</v>
      </c>
      <c r="O32" s="44" t="s">
        <v>210</v>
      </c>
      <c r="P32" s="44" t="s">
        <v>211</v>
      </c>
      <c r="Q32" s="46" t="s">
        <v>213</v>
      </c>
    </row>
    <row r="33" spans="1:17" x14ac:dyDescent="0.3">
      <c r="A33" s="42" t="s">
        <v>102</v>
      </c>
      <c r="B33" s="43" t="s">
        <v>103</v>
      </c>
      <c r="C33" s="44" t="s">
        <v>19</v>
      </c>
      <c r="D33" s="44" t="s">
        <v>104</v>
      </c>
      <c r="E33" s="43" t="s">
        <v>21</v>
      </c>
      <c r="F33" s="43" t="s">
        <v>22</v>
      </c>
      <c r="G33" s="43" t="s">
        <v>23</v>
      </c>
      <c r="H33" s="43" t="s">
        <v>23</v>
      </c>
      <c r="I33" s="9" t="s">
        <v>238</v>
      </c>
      <c r="J33" s="44" t="s">
        <v>219</v>
      </c>
      <c r="K33" s="45">
        <v>11</v>
      </c>
      <c r="L33" s="45"/>
      <c r="M33" s="44" t="s">
        <v>25</v>
      </c>
      <c r="N33" s="44" t="s">
        <v>207</v>
      </c>
      <c r="O33" s="44" t="s">
        <v>209</v>
      </c>
      <c r="P33" s="44" t="s">
        <v>211</v>
      </c>
      <c r="Q33" s="46" t="s">
        <v>213</v>
      </c>
    </row>
    <row r="34" spans="1:17" x14ac:dyDescent="0.3">
      <c r="A34" s="42" t="s">
        <v>105</v>
      </c>
      <c r="B34" s="43" t="s">
        <v>57</v>
      </c>
      <c r="C34" s="44" t="s">
        <v>43</v>
      </c>
      <c r="D34" s="44" t="s">
        <v>34</v>
      </c>
      <c r="E34" s="43" t="s">
        <v>23</v>
      </c>
      <c r="F34" s="43" t="s">
        <v>45</v>
      </c>
      <c r="G34" s="43" t="s">
        <v>23</v>
      </c>
      <c r="H34" s="43" t="s">
        <v>23</v>
      </c>
      <c r="I34" s="9" t="s">
        <v>234</v>
      </c>
      <c r="J34" s="44" t="s">
        <v>219</v>
      </c>
      <c r="K34" s="45" t="s">
        <v>218</v>
      </c>
      <c r="L34" s="45"/>
      <c r="M34" s="44" t="s">
        <v>215</v>
      </c>
      <c r="N34" s="44" t="s">
        <v>208</v>
      </c>
      <c r="O34" s="44" t="s">
        <v>208</v>
      </c>
      <c r="P34" s="44" t="s">
        <v>212</v>
      </c>
      <c r="Q34" s="46" t="s">
        <v>214</v>
      </c>
    </row>
    <row r="35" spans="1:17" x14ac:dyDescent="0.3">
      <c r="A35" s="42" t="s">
        <v>106</v>
      </c>
      <c r="B35" s="43" t="s">
        <v>107</v>
      </c>
      <c r="C35" s="44" t="s">
        <v>28</v>
      </c>
      <c r="D35" s="44" t="s">
        <v>108</v>
      </c>
      <c r="E35" s="43" t="s">
        <v>21</v>
      </c>
      <c r="F35" s="43" t="s">
        <v>30</v>
      </c>
      <c r="G35" s="43" t="s">
        <v>23</v>
      </c>
      <c r="H35" s="43" t="s">
        <v>23</v>
      </c>
      <c r="I35" s="9" t="s">
        <v>234</v>
      </c>
      <c r="J35" s="44" t="s">
        <v>219</v>
      </c>
      <c r="K35" s="45" t="s">
        <v>218</v>
      </c>
      <c r="L35" s="45"/>
      <c r="M35" s="44" t="s">
        <v>25</v>
      </c>
      <c r="N35" s="44" t="s">
        <v>207</v>
      </c>
      <c r="O35" s="44" t="s">
        <v>208</v>
      </c>
      <c r="P35" s="44" t="s">
        <v>211</v>
      </c>
      <c r="Q35" s="46" t="s">
        <v>213</v>
      </c>
    </row>
    <row r="36" spans="1:17" x14ac:dyDescent="0.3">
      <c r="A36" s="42" t="s">
        <v>109</v>
      </c>
      <c r="B36" s="43" t="s">
        <v>110</v>
      </c>
      <c r="C36" s="44" t="s">
        <v>33</v>
      </c>
      <c r="D36" s="44" t="s">
        <v>34</v>
      </c>
      <c r="E36" s="43" t="s">
        <v>23</v>
      </c>
      <c r="F36" s="43" t="s">
        <v>22</v>
      </c>
      <c r="G36" s="43" t="s">
        <v>23</v>
      </c>
      <c r="H36" s="43" t="s">
        <v>23</v>
      </c>
      <c r="I36" s="9" t="s">
        <v>234</v>
      </c>
      <c r="J36" s="44" t="s">
        <v>219</v>
      </c>
      <c r="K36" s="45" t="s">
        <v>218</v>
      </c>
      <c r="L36" s="45"/>
      <c r="M36" s="44" t="s">
        <v>215</v>
      </c>
      <c r="N36" s="44" t="s">
        <v>207</v>
      </c>
      <c r="O36" s="44" t="s">
        <v>209</v>
      </c>
      <c r="P36" s="44" t="s">
        <v>212</v>
      </c>
      <c r="Q36" s="46" t="s">
        <v>214</v>
      </c>
    </row>
    <row r="37" spans="1:17" x14ac:dyDescent="0.3">
      <c r="A37" s="42" t="s">
        <v>111</v>
      </c>
      <c r="B37" s="43" t="s">
        <v>112</v>
      </c>
      <c r="C37" s="44" t="s">
        <v>33</v>
      </c>
      <c r="D37" s="44" t="s">
        <v>34</v>
      </c>
      <c r="E37" s="43" t="s">
        <v>23</v>
      </c>
      <c r="F37" s="43" t="s">
        <v>22</v>
      </c>
      <c r="G37" s="43" t="s">
        <v>23</v>
      </c>
      <c r="H37" s="43" t="s">
        <v>23</v>
      </c>
      <c r="I37" s="9" t="s">
        <v>234</v>
      </c>
      <c r="J37" s="44" t="s">
        <v>221</v>
      </c>
      <c r="K37" s="45" t="s">
        <v>218</v>
      </c>
      <c r="L37" s="45"/>
      <c r="M37" s="44" t="s">
        <v>215</v>
      </c>
      <c r="N37" s="44" t="s">
        <v>207</v>
      </c>
      <c r="O37" s="44" t="s">
        <v>209</v>
      </c>
      <c r="P37" s="44" t="s">
        <v>212</v>
      </c>
      <c r="Q37" s="46" t="s">
        <v>214</v>
      </c>
    </row>
    <row r="38" spans="1:17" x14ac:dyDescent="0.3">
      <c r="A38" s="42" t="s">
        <v>113</v>
      </c>
      <c r="B38" s="43" t="s">
        <v>114</v>
      </c>
      <c r="C38" s="44" t="s">
        <v>43</v>
      </c>
      <c r="D38" s="44" t="s">
        <v>108</v>
      </c>
      <c r="E38" s="43" t="s">
        <v>21</v>
      </c>
      <c r="F38" s="43" t="s">
        <v>45</v>
      </c>
      <c r="G38" s="43" t="s">
        <v>23</v>
      </c>
      <c r="H38" s="43" t="s">
        <v>23</v>
      </c>
      <c r="I38" s="9" t="s">
        <v>234</v>
      </c>
      <c r="J38" s="44" t="s">
        <v>219</v>
      </c>
      <c r="K38" s="45" t="s">
        <v>218</v>
      </c>
      <c r="L38" s="45"/>
      <c r="M38" s="44" t="s">
        <v>25</v>
      </c>
      <c r="N38" s="44" t="s">
        <v>208</v>
      </c>
      <c r="O38" s="44" t="s">
        <v>208</v>
      </c>
      <c r="P38" s="44" t="s">
        <v>211</v>
      </c>
      <c r="Q38" s="46" t="s">
        <v>213</v>
      </c>
    </row>
    <row r="39" spans="1:17" x14ac:dyDescent="0.3">
      <c r="A39" s="42" t="s">
        <v>115</v>
      </c>
      <c r="B39" s="43" t="s">
        <v>116</v>
      </c>
      <c r="C39" s="44" t="s">
        <v>19</v>
      </c>
      <c r="D39" s="44" t="s">
        <v>117</v>
      </c>
      <c r="E39" s="43" t="s">
        <v>21</v>
      </c>
      <c r="F39" s="43" t="s">
        <v>22</v>
      </c>
      <c r="G39" s="43" t="s">
        <v>23</v>
      </c>
      <c r="H39" s="43" t="s">
        <v>23</v>
      </c>
      <c r="I39" s="9" t="s">
        <v>234</v>
      </c>
      <c r="J39" s="44" t="s">
        <v>221</v>
      </c>
      <c r="K39" s="45" t="s">
        <v>218</v>
      </c>
      <c r="L39" s="45"/>
      <c r="M39" s="44" t="s">
        <v>25</v>
      </c>
      <c r="N39" s="44" t="s">
        <v>207</v>
      </c>
      <c r="O39" s="44" t="s">
        <v>209</v>
      </c>
      <c r="P39" s="44" t="s">
        <v>211</v>
      </c>
      <c r="Q39" s="46" t="s">
        <v>213</v>
      </c>
    </row>
    <row r="40" spans="1:17" x14ac:dyDescent="0.3">
      <c r="A40" s="42" t="s">
        <v>118</v>
      </c>
      <c r="B40" s="43" t="s">
        <v>119</v>
      </c>
      <c r="C40" s="44" t="s">
        <v>28</v>
      </c>
      <c r="D40" s="44" t="s">
        <v>120</v>
      </c>
      <c r="E40" s="43" t="s">
        <v>21</v>
      </c>
      <c r="F40" s="43" t="s">
        <v>30</v>
      </c>
      <c r="G40" s="43" t="s">
        <v>23</v>
      </c>
      <c r="H40" s="43" t="s">
        <v>23</v>
      </c>
      <c r="I40" s="9" t="s">
        <v>235</v>
      </c>
      <c r="J40" s="44" t="s">
        <v>219</v>
      </c>
      <c r="K40" s="45" t="s">
        <v>218</v>
      </c>
      <c r="L40" s="45"/>
      <c r="M40" s="44" t="s">
        <v>25</v>
      </c>
      <c r="N40" s="44" t="s">
        <v>207</v>
      </c>
      <c r="O40" s="44" t="s">
        <v>208</v>
      </c>
      <c r="P40" s="44" t="s">
        <v>211</v>
      </c>
      <c r="Q40" s="46" t="s">
        <v>213</v>
      </c>
    </row>
    <row r="41" spans="1:17" x14ac:dyDescent="0.3">
      <c r="A41" s="42" t="s">
        <v>121</v>
      </c>
      <c r="B41" s="43" t="s">
        <v>122</v>
      </c>
      <c r="C41" s="44" t="s">
        <v>28</v>
      </c>
      <c r="D41" s="44" t="s">
        <v>123</v>
      </c>
      <c r="E41" s="43" t="s">
        <v>21</v>
      </c>
      <c r="F41" s="43" t="s">
        <v>30</v>
      </c>
      <c r="G41" s="43" t="s">
        <v>23</v>
      </c>
      <c r="H41" s="43" t="s">
        <v>23</v>
      </c>
      <c r="I41" s="9" t="s">
        <v>236</v>
      </c>
      <c r="J41" s="44" t="s">
        <v>219</v>
      </c>
      <c r="K41" s="45" t="s">
        <v>218</v>
      </c>
      <c r="L41" s="45"/>
      <c r="M41" s="44" t="s">
        <v>25</v>
      </c>
      <c r="N41" s="44" t="s">
        <v>207</v>
      </c>
      <c r="O41" s="44" t="s">
        <v>208</v>
      </c>
      <c r="P41" s="44" t="s">
        <v>211</v>
      </c>
      <c r="Q41" s="46" t="s">
        <v>213</v>
      </c>
    </row>
    <row r="42" spans="1:17" x14ac:dyDescent="0.3">
      <c r="A42" s="42" t="s">
        <v>124</v>
      </c>
      <c r="B42" s="43" t="s">
        <v>125</v>
      </c>
      <c r="C42" s="44" t="s">
        <v>33</v>
      </c>
      <c r="D42" s="44" t="s">
        <v>34</v>
      </c>
      <c r="E42" s="43" t="s">
        <v>23</v>
      </c>
      <c r="F42" s="43" t="s">
        <v>22</v>
      </c>
      <c r="G42" s="43" t="s">
        <v>23</v>
      </c>
      <c r="H42" s="43" t="s">
        <v>23</v>
      </c>
      <c r="I42" s="9" t="s">
        <v>234</v>
      </c>
      <c r="J42" s="44" t="s">
        <v>221</v>
      </c>
      <c r="K42" s="45" t="s">
        <v>222</v>
      </c>
      <c r="L42" s="45"/>
      <c r="M42" s="44" t="s">
        <v>215</v>
      </c>
      <c r="N42" s="44" t="s">
        <v>207</v>
      </c>
      <c r="O42" s="44" t="s">
        <v>209</v>
      </c>
      <c r="P42" s="44" t="s">
        <v>212</v>
      </c>
      <c r="Q42" s="46" t="s">
        <v>214</v>
      </c>
    </row>
    <row r="43" spans="1:17" x14ac:dyDescent="0.3">
      <c r="A43" s="42" t="s">
        <v>126</v>
      </c>
      <c r="B43" s="43" t="s">
        <v>127</v>
      </c>
      <c r="C43" s="44" t="s">
        <v>33</v>
      </c>
      <c r="D43" s="44" t="s">
        <v>128</v>
      </c>
      <c r="E43" s="43" t="s">
        <v>21</v>
      </c>
      <c r="F43" s="43" t="s">
        <v>22</v>
      </c>
      <c r="G43" s="43" t="s">
        <v>23</v>
      </c>
      <c r="H43" s="43" t="s">
        <v>23</v>
      </c>
      <c r="I43" s="9" t="s">
        <v>235</v>
      </c>
      <c r="J43" s="44" t="s">
        <v>223</v>
      </c>
      <c r="K43" s="45" t="s">
        <v>218</v>
      </c>
      <c r="L43" s="45"/>
      <c r="M43" s="44" t="s">
        <v>25</v>
      </c>
      <c r="N43" s="44" t="s">
        <v>207</v>
      </c>
      <c r="O43" s="44" t="s">
        <v>209</v>
      </c>
      <c r="P43" s="44" t="s">
        <v>211</v>
      </c>
      <c r="Q43" s="46" t="s">
        <v>213</v>
      </c>
    </row>
    <row r="44" spans="1:17" x14ac:dyDescent="0.3">
      <c r="A44" s="42" t="s">
        <v>129</v>
      </c>
      <c r="B44" s="43" t="s">
        <v>130</v>
      </c>
      <c r="C44" s="44" t="s">
        <v>43</v>
      </c>
      <c r="D44" s="44" t="s">
        <v>131</v>
      </c>
      <c r="E44" s="43" t="s">
        <v>21</v>
      </c>
      <c r="F44" s="43" t="s">
        <v>45</v>
      </c>
      <c r="G44" s="43" t="s">
        <v>23</v>
      </c>
      <c r="H44" s="43" t="s">
        <v>23</v>
      </c>
      <c r="I44" s="9" t="s">
        <v>234</v>
      </c>
      <c r="J44" s="44" t="s">
        <v>219</v>
      </c>
      <c r="K44" s="45" t="s">
        <v>227</v>
      </c>
      <c r="L44" s="45"/>
      <c r="M44" s="44" t="s">
        <v>25</v>
      </c>
      <c r="N44" s="44" t="s">
        <v>208</v>
      </c>
      <c r="O44" s="44" t="s">
        <v>208</v>
      </c>
      <c r="P44" s="44" t="s">
        <v>211</v>
      </c>
      <c r="Q44" s="46" t="s">
        <v>213</v>
      </c>
    </row>
    <row r="45" spans="1:17" x14ac:dyDescent="0.3">
      <c r="A45" s="42" t="s">
        <v>132</v>
      </c>
      <c r="B45" s="43" t="s">
        <v>133</v>
      </c>
      <c r="C45" s="44" t="s">
        <v>51</v>
      </c>
      <c r="D45" s="44" t="s">
        <v>134</v>
      </c>
      <c r="E45" s="43" t="s">
        <v>21</v>
      </c>
      <c r="F45" s="43" t="s">
        <v>35</v>
      </c>
      <c r="G45" s="43" t="s">
        <v>23</v>
      </c>
      <c r="H45" s="43" t="s">
        <v>23</v>
      </c>
      <c r="I45" s="9" t="s">
        <v>234</v>
      </c>
      <c r="J45" s="44" t="s">
        <v>219</v>
      </c>
      <c r="K45" s="45">
        <v>115</v>
      </c>
      <c r="L45" s="45"/>
      <c r="M45" s="44" t="s">
        <v>25</v>
      </c>
      <c r="N45" s="44" t="s">
        <v>207</v>
      </c>
      <c r="O45" s="44" t="s">
        <v>210</v>
      </c>
      <c r="P45" s="44" t="s">
        <v>211</v>
      </c>
      <c r="Q45" s="46" t="s">
        <v>213</v>
      </c>
    </row>
    <row r="46" spans="1:17" x14ac:dyDescent="0.3">
      <c r="A46" s="42" t="s">
        <v>135</v>
      </c>
      <c r="B46" s="43" t="s">
        <v>136</v>
      </c>
      <c r="C46" s="44" t="s">
        <v>33</v>
      </c>
      <c r="D46" s="44" t="s">
        <v>137</v>
      </c>
      <c r="E46" s="43" t="s">
        <v>23</v>
      </c>
      <c r="F46" s="43" t="s">
        <v>35</v>
      </c>
      <c r="G46" s="43" t="s">
        <v>23</v>
      </c>
      <c r="H46" s="43" t="s">
        <v>23</v>
      </c>
      <c r="I46" s="9" t="s">
        <v>236</v>
      </c>
      <c r="J46" s="44" t="s">
        <v>219</v>
      </c>
      <c r="K46" s="45" t="s">
        <v>218</v>
      </c>
      <c r="L46" s="45"/>
      <c r="M46" s="44" t="s">
        <v>215</v>
      </c>
      <c r="N46" s="44" t="s">
        <v>207</v>
      </c>
      <c r="O46" s="44" t="s">
        <v>210</v>
      </c>
      <c r="P46" s="44" t="s">
        <v>212</v>
      </c>
      <c r="Q46" s="46" t="s">
        <v>214</v>
      </c>
    </row>
    <row r="47" spans="1:17" x14ac:dyDescent="0.3">
      <c r="A47" s="42" t="s">
        <v>138</v>
      </c>
      <c r="B47" s="43" t="s">
        <v>139</v>
      </c>
      <c r="C47" s="44" t="s">
        <v>43</v>
      </c>
      <c r="D47" s="44" t="s">
        <v>140</v>
      </c>
      <c r="E47" s="43" t="s">
        <v>21</v>
      </c>
      <c r="F47" s="43" t="s">
        <v>45</v>
      </c>
      <c r="G47" s="43" t="s">
        <v>23</v>
      </c>
      <c r="H47" s="43" t="s">
        <v>23</v>
      </c>
      <c r="I47" s="9" t="s">
        <v>234</v>
      </c>
      <c r="J47" s="44" t="s">
        <v>219</v>
      </c>
      <c r="K47" s="45" t="s">
        <v>218</v>
      </c>
      <c r="L47" s="45"/>
      <c r="M47" s="44" t="s">
        <v>25</v>
      </c>
      <c r="N47" s="44" t="s">
        <v>208</v>
      </c>
      <c r="O47" s="44" t="s">
        <v>208</v>
      </c>
      <c r="P47" s="44" t="s">
        <v>211</v>
      </c>
      <c r="Q47" s="46" t="s">
        <v>213</v>
      </c>
    </row>
    <row r="48" spans="1:17" x14ac:dyDescent="0.3">
      <c r="A48" s="42" t="s">
        <v>141</v>
      </c>
      <c r="B48" s="43" t="s">
        <v>142</v>
      </c>
      <c r="C48" s="44" t="s">
        <v>33</v>
      </c>
      <c r="D48" s="44" t="s">
        <v>143</v>
      </c>
      <c r="E48" s="43" t="s">
        <v>21</v>
      </c>
      <c r="F48" s="43" t="s">
        <v>35</v>
      </c>
      <c r="G48" s="43" t="s">
        <v>23</v>
      </c>
      <c r="H48" s="43" t="s">
        <v>23</v>
      </c>
      <c r="I48" s="9" t="s">
        <v>234</v>
      </c>
      <c r="J48" s="44" t="s">
        <v>219</v>
      </c>
      <c r="K48" s="45" t="s">
        <v>218</v>
      </c>
      <c r="L48" s="45"/>
      <c r="M48" s="44" t="s">
        <v>25</v>
      </c>
      <c r="N48" s="44" t="s">
        <v>207</v>
      </c>
      <c r="O48" s="44" t="s">
        <v>210</v>
      </c>
      <c r="P48" s="44" t="s">
        <v>211</v>
      </c>
      <c r="Q48" s="46" t="s">
        <v>213</v>
      </c>
    </row>
    <row r="49" spans="1:17" x14ac:dyDescent="0.3">
      <c r="A49" s="42" t="s">
        <v>144</v>
      </c>
      <c r="B49" s="43" t="s">
        <v>145</v>
      </c>
      <c r="C49" s="44" t="s">
        <v>43</v>
      </c>
      <c r="D49" s="44" t="s">
        <v>146</v>
      </c>
      <c r="E49" s="43" t="s">
        <v>21</v>
      </c>
      <c r="F49" s="43" t="s">
        <v>45</v>
      </c>
      <c r="G49" s="43" t="s">
        <v>23</v>
      </c>
      <c r="H49" s="43" t="s">
        <v>23</v>
      </c>
      <c r="I49" s="9" t="s">
        <v>235</v>
      </c>
      <c r="J49" s="44" t="s">
        <v>219</v>
      </c>
      <c r="K49" s="45" t="s">
        <v>218</v>
      </c>
      <c r="L49" s="45"/>
      <c r="M49" s="44" t="s">
        <v>147</v>
      </c>
      <c r="N49" s="44" t="s">
        <v>208</v>
      </c>
      <c r="O49" s="44" t="s">
        <v>208</v>
      </c>
      <c r="P49" s="44" t="s">
        <v>211</v>
      </c>
      <c r="Q49" s="46" t="s">
        <v>213</v>
      </c>
    </row>
    <row r="50" spans="1:17" x14ac:dyDescent="0.3">
      <c r="A50" s="42" t="s">
        <v>148</v>
      </c>
      <c r="B50" s="43" t="s">
        <v>149</v>
      </c>
      <c r="C50" s="44" t="s">
        <v>28</v>
      </c>
      <c r="D50" s="44" t="s">
        <v>150</v>
      </c>
      <c r="E50" s="43" t="s">
        <v>21</v>
      </c>
      <c r="F50" s="43" t="s">
        <v>30</v>
      </c>
      <c r="G50" s="43" t="s">
        <v>23</v>
      </c>
      <c r="H50" s="43" t="s">
        <v>23</v>
      </c>
      <c r="I50" s="9" t="s">
        <v>236</v>
      </c>
      <c r="J50" s="44" t="s">
        <v>224</v>
      </c>
      <c r="K50" s="45" t="s">
        <v>218</v>
      </c>
      <c r="L50" s="45"/>
      <c r="M50" s="44" t="s">
        <v>25</v>
      </c>
      <c r="N50" s="44" t="s">
        <v>207</v>
      </c>
      <c r="O50" s="44" t="s">
        <v>208</v>
      </c>
      <c r="P50" s="44" t="s">
        <v>211</v>
      </c>
      <c r="Q50" s="46" t="s">
        <v>213</v>
      </c>
    </row>
    <row r="51" spans="1:17" x14ac:dyDescent="0.3">
      <c r="A51" s="42" t="s">
        <v>151</v>
      </c>
      <c r="B51" s="43" t="s">
        <v>152</v>
      </c>
      <c r="C51" s="44" t="s">
        <v>43</v>
      </c>
      <c r="D51" s="44" t="s">
        <v>153</v>
      </c>
      <c r="E51" s="43" t="s">
        <v>21</v>
      </c>
      <c r="F51" s="43" t="s">
        <v>22</v>
      </c>
      <c r="G51" s="43" t="s">
        <v>23</v>
      </c>
      <c r="H51" s="43" t="s">
        <v>23</v>
      </c>
      <c r="I51" s="9" t="s">
        <v>235</v>
      </c>
      <c r="J51" s="44" t="s">
        <v>229</v>
      </c>
      <c r="K51" s="45" t="s">
        <v>231</v>
      </c>
      <c r="L51" s="45"/>
      <c r="M51" s="44" t="s">
        <v>25</v>
      </c>
      <c r="N51" s="44" t="s">
        <v>207</v>
      </c>
      <c r="O51" s="44" t="s">
        <v>209</v>
      </c>
      <c r="P51" s="44" t="s">
        <v>211</v>
      </c>
      <c r="Q51" s="46" t="s">
        <v>213</v>
      </c>
    </row>
    <row r="52" spans="1:17" x14ac:dyDescent="0.3">
      <c r="A52" s="42" t="s">
        <v>154</v>
      </c>
      <c r="B52" s="43" t="s">
        <v>155</v>
      </c>
      <c r="C52" s="44" t="s">
        <v>156</v>
      </c>
      <c r="D52" s="44" t="s">
        <v>140</v>
      </c>
      <c r="E52" s="43" t="s">
        <v>21</v>
      </c>
      <c r="F52" s="43" t="s">
        <v>22</v>
      </c>
      <c r="G52" s="43" t="s">
        <v>23</v>
      </c>
      <c r="H52" s="43" t="s">
        <v>23</v>
      </c>
      <c r="I52" s="9" t="s">
        <v>238</v>
      </c>
      <c r="J52" s="44" t="s">
        <v>219</v>
      </c>
      <c r="K52" s="45" t="s">
        <v>225</v>
      </c>
      <c r="L52" s="45"/>
      <c r="M52" s="44" t="s">
        <v>25</v>
      </c>
      <c r="N52" s="44" t="s">
        <v>207</v>
      </c>
      <c r="O52" s="44" t="s">
        <v>209</v>
      </c>
      <c r="P52" s="44" t="s">
        <v>211</v>
      </c>
      <c r="Q52" s="46" t="s">
        <v>213</v>
      </c>
    </row>
    <row r="53" spans="1:17" x14ac:dyDescent="0.3">
      <c r="A53" s="42" t="s">
        <v>157</v>
      </c>
      <c r="B53" s="43" t="s">
        <v>158</v>
      </c>
      <c r="C53" s="44" t="s">
        <v>43</v>
      </c>
      <c r="D53" s="44" t="s">
        <v>159</v>
      </c>
      <c r="E53" s="43" t="s">
        <v>21</v>
      </c>
      <c r="F53" s="43" t="s">
        <v>30</v>
      </c>
      <c r="G53" s="43" t="s">
        <v>23</v>
      </c>
      <c r="H53" s="43" t="s">
        <v>23</v>
      </c>
      <c r="I53" s="9" t="s">
        <v>234</v>
      </c>
      <c r="J53" s="44" t="s">
        <v>221</v>
      </c>
      <c r="K53" s="45">
        <v>100</v>
      </c>
      <c r="L53" s="45"/>
      <c r="M53" s="44" t="s">
        <v>25</v>
      </c>
      <c r="N53" s="44" t="s">
        <v>207</v>
      </c>
      <c r="O53" s="44" t="s">
        <v>208</v>
      </c>
      <c r="P53" s="44" t="s">
        <v>211</v>
      </c>
      <c r="Q53" s="46" t="s">
        <v>213</v>
      </c>
    </row>
    <row r="54" spans="1:17" x14ac:dyDescent="0.3">
      <c r="A54" s="42" t="s">
        <v>160</v>
      </c>
      <c r="B54" s="43" t="s">
        <v>161</v>
      </c>
      <c r="C54" s="44" t="s">
        <v>33</v>
      </c>
      <c r="D54" s="44" t="s">
        <v>34</v>
      </c>
      <c r="E54" s="43" t="s">
        <v>23</v>
      </c>
      <c r="F54" s="43" t="s">
        <v>35</v>
      </c>
      <c r="G54" s="43" t="s">
        <v>23</v>
      </c>
      <c r="H54" s="43" t="s">
        <v>23</v>
      </c>
      <c r="I54" s="9" t="s">
        <v>236</v>
      </c>
      <c r="J54" s="44" t="s">
        <v>219</v>
      </c>
      <c r="K54" s="45">
        <v>60</v>
      </c>
      <c r="L54" s="45"/>
      <c r="M54" s="44" t="s">
        <v>215</v>
      </c>
      <c r="N54" s="44" t="s">
        <v>207</v>
      </c>
      <c r="O54" s="44" t="s">
        <v>210</v>
      </c>
      <c r="P54" s="44" t="s">
        <v>212</v>
      </c>
      <c r="Q54" s="46" t="s">
        <v>214</v>
      </c>
    </row>
    <row r="55" spans="1:17" x14ac:dyDescent="0.3">
      <c r="A55" s="42" t="s">
        <v>162</v>
      </c>
      <c r="B55" s="43" t="s">
        <v>163</v>
      </c>
      <c r="C55" s="44" t="s">
        <v>19</v>
      </c>
      <c r="D55" s="44" t="s">
        <v>164</v>
      </c>
      <c r="E55" s="43" t="s">
        <v>21</v>
      </c>
      <c r="F55" s="43" t="s">
        <v>22</v>
      </c>
      <c r="G55" s="43" t="s">
        <v>23</v>
      </c>
      <c r="H55" s="43" t="s">
        <v>23</v>
      </c>
      <c r="I55" s="9" t="s">
        <v>234</v>
      </c>
      <c r="J55" s="44" t="s">
        <v>219</v>
      </c>
      <c r="K55" s="45" t="s">
        <v>218</v>
      </c>
      <c r="L55" s="45"/>
      <c r="M55" s="44" t="s">
        <v>25</v>
      </c>
      <c r="N55" s="44" t="s">
        <v>207</v>
      </c>
      <c r="O55" s="44" t="s">
        <v>209</v>
      </c>
      <c r="P55" s="44" t="s">
        <v>211</v>
      </c>
      <c r="Q55" s="46" t="s">
        <v>213</v>
      </c>
    </row>
    <row r="56" spans="1:17" x14ac:dyDescent="0.3">
      <c r="A56" s="42" t="s">
        <v>165</v>
      </c>
      <c r="B56" s="43" t="s">
        <v>166</v>
      </c>
      <c r="C56" s="44" t="s">
        <v>43</v>
      </c>
      <c r="D56" s="44" t="s">
        <v>167</v>
      </c>
      <c r="E56" s="43" t="s">
        <v>21</v>
      </c>
      <c r="F56" s="43" t="s">
        <v>45</v>
      </c>
      <c r="G56" s="43" t="s">
        <v>23</v>
      </c>
      <c r="H56" s="43" t="s">
        <v>23</v>
      </c>
      <c r="I56" s="9" t="s">
        <v>234</v>
      </c>
      <c r="J56" s="44" t="s">
        <v>219</v>
      </c>
      <c r="K56" s="45" t="s">
        <v>218</v>
      </c>
      <c r="L56" s="45"/>
      <c r="M56" s="44" t="s">
        <v>25</v>
      </c>
      <c r="N56" s="44" t="s">
        <v>208</v>
      </c>
      <c r="O56" s="44" t="s">
        <v>208</v>
      </c>
      <c r="P56" s="44" t="s">
        <v>211</v>
      </c>
      <c r="Q56" s="46" t="s">
        <v>213</v>
      </c>
    </row>
    <row r="57" spans="1:17" x14ac:dyDescent="0.3">
      <c r="A57" s="42" t="s">
        <v>168</v>
      </c>
      <c r="B57" s="43" t="s">
        <v>169</v>
      </c>
      <c r="C57" s="44" t="s">
        <v>28</v>
      </c>
      <c r="D57" s="44" t="s">
        <v>170</v>
      </c>
      <c r="E57" s="43" t="s">
        <v>21</v>
      </c>
      <c r="F57" s="43" t="s">
        <v>30</v>
      </c>
      <c r="G57" s="43" t="s">
        <v>23</v>
      </c>
      <c r="H57" s="43" t="s">
        <v>23</v>
      </c>
      <c r="I57" s="9" t="s">
        <v>234</v>
      </c>
      <c r="J57" s="44" t="s">
        <v>219</v>
      </c>
      <c r="K57" s="45" t="s">
        <v>218</v>
      </c>
      <c r="L57" s="45"/>
      <c r="M57" s="44" t="s">
        <v>25</v>
      </c>
      <c r="N57" s="44" t="s">
        <v>207</v>
      </c>
      <c r="O57" s="44" t="s">
        <v>208</v>
      </c>
      <c r="P57" s="44" t="s">
        <v>211</v>
      </c>
      <c r="Q57" s="46" t="s">
        <v>213</v>
      </c>
    </row>
    <row r="58" spans="1:17" x14ac:dyDescent="0.3">
      <c r="A58" s="47" t="s">
        <v>171</v>
      </c>
      <c r="B58" s="48" t="s">
        <v>172</v>
      </c>
      <c r="C58" s="49" t="s">
        <v>28</v>
      </c>
      <c r="D58" s="49" t="s">
        <v>173</v>
      </c>
      <c r="E58" s="48" t="s">
        <v>21</v>
      </c>
      <c r="F58" s="48" t="s">
        <v>30</v>
      </c>
      <c r="G58" s="48" t="s">
        <v>23</v>
      </c>
      <c r="H58" s="48" t="s">
        <v>23</v>
      </c>
      <c r="I58" s="10" t="s">
        <v>234</v>
      </c>
      <c r="J58" s="49" t="s">
        <v>219</v>
      </c>
      <c r="K58" s="50" t="s">
        <v>218</v>
      </c>
      <c r="L58" s="50"/>
      <c r="M58" s="49" t="s">
        <v>25</v>
      </c>
      <c r="N58" s="49" t="s">
        <v>207</v>
      </c>
      <c r="O58" s="49" t="s">
        <v>208</v>
      </c>
      <c r="P58" s="49" t="s">
        <v>211</v>
      </c>
      <c r="Q58" s="51" t="s">
        <v>213</v>
      </c>
    </row>
    <row r="59" spans="1:17" x14ac:dyDescent="0.3">
      <c r="A59" s="34"/>
      <c r="B59" s="34"/>
      <c r="C59" s="34"/>
      <c r="D59" s="34"/>
      <c r="E59" s="34"/>
      <c r="F59" s="34"/>
      <c r="G59" s="34"/>
      <c r="H59" s="34"/>
      <c r="I59" s="34"/>
      <c r="J59" s="34"/>
      <c r="K59" s="34"/>
      <c r="L59" s="34"/>
      <c r="M59" s="34"/>
      <c r="N59" s="34"/>
      <c r="O59" s="34"/>
      <c r="P59" s="34"/>
      <c r="Q59" s="34"/>
    </row>
    <row r="60" spans="1:17" x14ac:dyDescent="0.3">
      <c r="A60" s="34"/>
      <c r="B60" s="34"/>
      <c r="C60" s="34"/>
      <c r="D60" s="34"/>
      <c r="E60" s="34"/>
      <c r="F60" s="34"/>
      <c r="G60" s="34"/>
      <c r="H60" s="34"/>
      <c r="I60" s="34"/>
      <c r="J60" s="34"/>
      <c r="K60" s="34"/>
      <c r="L60" s="34"/>
      <c r="M60" s="34"/>
      <c r="N60" s="34"/>
      <c r="O60" s="34"/>
      <c r="P60" s="34"/>
      <c r="Q60" s="34"/>
    </row>
    <row r="61" spans="1:17" ht="15.6" x14ac:dyDescent="0.3">
      <c r="A61" s="52" t="s">
        <v>174</v>
      </c>
      <c r="B61" s="34"/>
      <c r="C61" s="34"/>
      <c r="D61" s="34"/>
      <c r="E61" s="34"/>
      <c r="F61" s="34"/>
      <c r="G61" s="34"/>
      <c r="H61" s="34"/>
      <c r="I61" s="34"/>
      <c r="J61" s="34"/>
      <c r="K61" s="34"/>
      <c r="L61" s="34"/>
      <c r="M61" s="34"/>
      <c r="N61" s="34"/>
      <c r="O61" s="34"/>
      <c r="P61" s="34"/>
      <c r="Q61" s="34"/>
    </row>
    <row r="62" spans="1:17" x14ac:dyDescent="0.3">
      <c r="A62" s="53" t="s">
        <v>175</v>
      </c>
      <c r="B62" s="34"/>
      <c r="C62" s="34"/>
      <c r="D62" s="34"/>
      <c r="E62" s="34"/>
      <c r="F62" s="34"/>
      <c r="G62" s="34"/>
      <c r="H62" s="34"/>
      <c r="I62" s="34"/>
      <c r="J62" s="34"/>
      <c r="K62" s="34"/>
      <c r="L62" s="34"/>
      <c r="M62" s="34"/>
      <c r="N62" s="34"/>
      <c r="O62" s="34"/>
      <c r="P62" s="34"/>
      <c r="Q62" s="34"/>
    </row>
    <row r="63" spans="1:17" x14ac:dyDescent="0.3">
      <c r="A63" s="34"/>
      <c r="B63" s="34"/>
      <c r="C63" s="34"/>
      <c r="D63" s="34"/>
      <c r="E63" s="34"/>
      <c r="F63" s="34"/>
      <c r="G63" s="34"/>
      <c r="H63" s="34"/>
      <c r="I63" s="34"/>
      <c r="J63" s="34"/>
      <c r="K63" s="34"/>
      <c r="L63" s="34"/>
      <c r="M63" s="34"/>
      <c r="N63" s="34"/>
      <c r="O63" s="34"/>
      <c r="P63" s="34"/>
      <c r="Q63" s="34"/>
    </row>
    <row r="64" spans="1:17" x14ac:dyDescent="0.3">
      <c r="A64" s="34" t="s">
        <v>176</v>
      </c>
      <c r="B64" s="34"/>
      <c r="C64" s="34"/>
      <c r="D64" s="11">
        <v>105.84</v>
      </c>
      <c r="E64" s="34"/>
      <c r="F64" s="34"/>
      <c r="G64" s="34"/>
      <c r="H64" s="34"/>
      <c r="I64" s="34"/>
      <c r="J64" s="34"/>
      <c r="K64" s="34"/>
      <c r="L64" s="34"/>
      <c r="M64" s="34"/>
      <c r="N64" s="34"/>
      <c r="O64" s="34"/>
      <c r="P64" s="34"/>
      <c r="Q64" s="34"/>
    </row>
    <row r="65" spans="1:17" x14ac:dyDescent="0.3">
      <c r="A65" s="34" t="s">
        <v>177</v>
      </c>
      <c r="B65" s="34"/>
      <c r="C65" s="34"/>
      <c r="D65" s="11">
        <v>68.8</v>
      </c>
      <c r="E65" s="34"/>
      <c r="F65" s="34"/>
      <c r="G65" s="34"/>
      <c r="H65" s="34"/>
      <c r="I65" s="34"/>
      <c r="J65" s="34"/>
      <c r="K65" s="34"/>
      <c r="L65" s="34"/>
      <c r="M65" s="34"/>
      <c r="N65" s="34"/>
      <c r="O65" s="34"/>
      <c r="P65" s="34"/>
      <c r="Q65" s="34"/>
    </row>
    <row r="66" spans="1:17" x14ac:dyDescent="0.3">
      <c r="A66" s="34" t="s">
        <v>178</v>
      </c>
      <c r="B66" s="34"/>
      <c r="C66" s="34"/>
      <c r="D66" s="11">
        <v>211.69</v>
      </c>
      <c r="E66" s="34"/>
      <c r="F66" s="34"/>
      <c r="G66" s="34"/>
      <c r="H66" s="34"/>
      <c r="I66" s="34"/>
      <c r="J66" s="34"/>
      <c r="K66" s="34"/>
      <c r="L66" s="34"/>
      <c r="M66" s="34"/>
      <c r="N66" s="34"/>
      <c r="O66" s="34"/>
      <c r="P66" s="34"/>
      <c r="Q66" s="34"/>
    </row>
    <row r="67" spans="1:17" x14ac:dyDescent="0.3">
      <c r="A67" s="34" t="s">
        <v>179</v>
      </c>
      <c r="B67" s="34"/>
      <c r="C67" s="34"/>
      <c r="D67" s="11">
        <v>88.14</v>
      </c>
      <c r="E67" s="34"/>
      <c r="F67" s="34"/>
      <c r="G67" s="34"/>
      <c r="H67" s="34"/>
      <c r="I67" s="34"/>
      <c r="J67" s="34"/>
      <c r="K67" s="34"/>
      <c r="L67" s="34"/>
      <c r="M67" s="34"/>
      <c r="N67" s="34"/>
      <c r="O67" s="34"/>
      <c r="P67" s="34"/>
      <c r="Q67" s="34"/>
    </row>
    <row r="68" spans="1:17" x14ac:dyDescent="0.3">
      <c r="A68" s="34"/>
      <c r="B68" s="34"/>
      <c r="C68" s="34"/>
      <c r="D68" s="34"/>
      <c r="E68" s="34"/>
      <c r="F68" s="34"/>
      <c r="G68" s="34"/>
      <c r="H68" s="34"/>
      <c r="I68" s="34"/>
      <c r="J68" s="34"/>
      <c r="K68" s="34"/>
      <c r="L68" s="34"/>
      <c r="M68" s="34"/>
      <c r="N68" s="34"/>
      <c r="O68" s="34"/>
      <c r="P68" s="34"/>
      <c r="Q68" s="34"/>
    </row>
    <row r="69" spans="1:17" x14ac:dyDescent="0.3">
      <c r="A69" s="53" t="s">
        <v>180</v>
      </c>
      <c r="B69" s="34"/>
      <c r="C69" s="34"/>
      <c r="D69" s="34"/>
      <c r="E69" s="34"/>
      <c r="F69" s="34"/>
      <c r="G69" s="34"/>
      <c r="H69" s="34"/>
      <c r="I69" s="34"/>
      <c r="J69" s="34"/>
      <c r="K69" s="34"/>
      <c r="L69" s="34"/>
      <c r="M69" s="34"/>
      <c r="N69" s="34"/>
      <c r="O69" s="34"/>
      <c r="P69" s="34"/>
      <c r="Q69" s="34"/>
    </row>
    <row r="70" spans="1:17" x14ac:dyDescent="0.3">
      <c r="A70" s="34"/>
      <c r="B70" s="34"/>
      <c r="C70" s="34"/>
      <c r="D70" s="34"/>
      <c r="E70" s="34"/>
      <c r="F70" s="34"/>
      <c r="G70" s="34"/>
      <c r="H70" s="34"/>
      <c r="I70" s="34"/>
      <c r="J70" s="34"/>
      <c r="K70" s="34"/>
      <c r="L70" s="34"/>
      <c r="M70" s="34"/>
      <c r="N70" s="34"/>
      <c r="O70" s="34"/>
      <c r="P70" s="34"/>
      <c r="Q70" s="34"/>
    </row>
    <row r="71" spans="1:17" x14ac:dyDescent="0.3">
      <c r="A71" s="54" t="s">
        <v>181</v>
      </c>
      <c r="B71" s="34"/>
      <c r="C71" s="34"/>
      <c r="D71" s="34"/>
      <c r="E71" s="34"/>
      <c r="F71" s="34"/>
      <c r="G71" s="34"/>
      <c r="H71" s="34"/>
      <c r="I71" s="34"/>
      <c r="J71" s="34"/>
      <c r="K71" s="34"/>
      <c r="L71" s="34"/>
      <c r="M71" s="34"/>
      <c r="N71" s="34"/>
      <c r="O71" s="34"/>
      <c r="P71" s="34"/>
      <c r="Q71" s="34"/>
    </row>
    <row r="72" spans="1:17" x14ac:dyDescent="0.3">
      <c r="A72" s="55" t="s">
        <v>182</v>
      </c>
      <c r="B72" s="55" t="s">
        <v>183</v>
      </c>
      <c r="C72" s="55" t="s">
        <v>184</v>
      </c>
      <c r="D72" s="55" t="s">
        <v>185</v>
      </c>
      <c r="E72" s="55" t="s">
        <v>186</v>
      </c>
      <c r="F72" s="34"/>
      <c r="G72" s="56" t="s">
        <v>197</v>
      </c>
      <c r="H72" s="34"/>
      <c r="I72" s="34"/>
      <c r="J72" s="34"/>
      <c r="K72" s="34"/>
      <c r="L72" s="34"/>
      <c r="M72" s="34"/>
      <c r="N72" s="34"/>
      <c r="O72" s="34"/>
      <c r="P72" s="34"/>
      <c r="Q72" s="34"/>
    </row>
    <row r="73" spans="1:17" x14ac:dyDescent="0.3">
      <c r="A73" s="57" t="s">
        <v>187</v>
      </c>
      <c r="B73" s="1">
        <v>1</v>
      </c>
      <c r="C73" s="1">
        <v>5</v>
      </c>
      <c r="D73" s="1">
        <v>12</v>
      </c>
      <c r="E73" s="2">
        <v>20</v>
      </c>
      <c r="F73" s="34"/>
      <c r="G73" s="34">
        <v>15</v>
      </c>
      <c r="H73" s="34"/>
      <c r="I73" s="34"/>
      <c r="J73" s="34"/>
      <c r="K73" s="34"/>
      <c r="L73" s="34"/>
      <c r="M73" s="34"/>
      <c r="N73" s="34"/>
      <c r="O73" s="34"/>
      <c r="P73" s="34"/>
      <c r="Q73" s="34"/>
    </row>
    <row r="74" spans="1:17" x14ac:dyDescent="0.3">
      <c r="A74" s="58" t="s">
        <v>188</v>
      </c>
      <c r="B74" s="3">
        <v>1.2</v>
      </c>
      <c r="C74" s="3">
        <v>6</v>
      </c>
      <c r="D74" s="3">
        <v>14.4</v>
      </c>
      <c r="E74" s="4">
        <v>24</v>
      </c>
      <c r="F74" s="34"/>
      <c r="G74" s="34">
        <v>21</v>
      </c>
      <c r="H74" s="34"/>
      <c r="I74" s="34"/>
      <c r="J74" s="34"/>
      <c r="K74" s="34"/>
      <c r="L74" s="34"/>
      <c r="M74" s="34"/>
      <c r="N74" s="34"/>
      <c r="O74" s="34"/>
      <c r="P74" s="34"/>
      <c r="Q74" s="34"/>
    </row>
    <row r="75" spans="1:17" x14ac:dyDescent="0.3">
      <c r="A75" s="58" t="s">
        <v>189</v>
      </c>
      <c r="B75" s="3">
        <v>1.4</v>
      </c>
      <c r="C75" s="3">
        <v>7</v>
      </c>
      <c r="D75" s="3">
        <v>16.8</v>
      </c>
      <c r="E75" s="4">
        <v>28</v>
      </c>
      <c r="F75" s="34"/>
      <c r="G75" s="34">
        <v>51</v>
      </c>
      <c r="H75" s="34"/>
      <c r="I75" s="34"/>
      <c r="J75" s="34"/>
      <c r="K75" s="34"/>
      <c r="L75" s="34"/>
      <c r="M75" s="34"/>
      <c r="N75" s="34"/>
      <c r="O75" s="34"/>
      <c r="P75" s="34"/>
      <c r="Q75" s="34"/>
    </row>
    <row r="76" spans="1:17" x14ac:dyDescent="0.3">
      <c r="A76" s="58" t="s">
        <v>190</v>
      </c>
      <c r="B76" s="3">
        <v>1.6</v>
      </c>
      <c r="C76" s="3">
        <v>8</v>
      </c>
      <c r="D76" s="3">
        <v>19.2</v>
      </c>
      <c r="E76" s="4">
        <v>32</v>
      </c>
      <c r="F76" s="34"/>
      <c r="G76" s="34">
        <v>91</v>
      </c>
      <c r="H76" s="34"/>
      <c r="I76" s="34"/>
      <c r="J76" s="34"/>
      <c r="K76" s="34"/>
      <c r="L76" s="34"/>
      <c r="M76" s="34"/>
      <c r="N76" s="34"/>
      <c r="O76" s="34"/>
      <c r="P76" s="34"/>
      <c r="Q76" s="34"/>
    </row>
    <row r="77" spans="1:17" x14ac:dyDescent="0.3">
      <c r="A77" s="58" t="s">
        <v>191</v>
      </c>
      <c r="B77" s="3">
        <v>1.8</v>
      </c>
      <c r="C77" s="3">
        <v>9</v>
      </c>
      <c r="D77" s="3">
        <v>21.6</v>
      </c>
      <c r="E77" s="4">
        <v>36</v>
      </c>
      <c r="F77" s="34"/>
      <c r="G77" s="34">
        <v>141</v>
      </c>
      <c r="H77" s="34"/>
      <c r="I77" s="34"/>
      <c r="J77" s="34"/>
      <c r="K77" s="34"/>
      <c r="L77" s="34"/>
      <c r="M77" s="34"/>
      <c r="N77" s="34"/>
      <c r="O77" s="34"/>
      <c r="P77" s="34"/>
      <c r="Q77" s="34"/>
    </row>
    <row r="78" spans="1:17" x14ac:dyDescent="0.3">
      <c r="A78" s="58" t="s">
        <v>192</v>
      </c>
      <c r="B78" s="3">
        <v>2</v>
      </c>
      <c r="C78" s="3">
        <v>10</v>
      </c>
      <c r="D78" s="3">
        <v>24</v>
      </c>
      <c r="E78" s="4">
        <v>40</v>
      </c>
      <c r="F78" s="34"/>
      <c r="G78" s="34">
        <v>201</v>
      </c>
      <c r="H78" s="34"/>
      <c r="I78" s="34"/>
      <c r="J78" s="34"/>
      <c r="K78" s="34"/>
      <c r="L78" s="34"/>
      <c r="M78" s="34"/>
      <c r="N78" s="34"/>
      <c r="O78" s="34"/>
      <c r="P78" s="34"/>
      <c r="Q78" s="34"/>
    </row>
    <row r="79" spans="1:17" x14ac:dyDescent="0.3">
      <c r="A79" s="58" t="s">
        <v>193</v>
      </c>
      <c r="B79" s="3">
        <v>2.15</v>
      </c>
      <c r="C79" s="3">
        <v>10.75</v>
      </c>
      <c r="D79" s="3">
        <v>25.8</v>
      </c>
      <c r="E79" s="4">
        <v>43</v>
      </c>
      <c r="F79" s="34"/>
      <c r="G79" s="34">
        <v>271</v>
      </c>
      <c r="H79" s="34"/>
      <c r="I79" s="34"/>
      <c r="J79" s="34"/>
      <c r="K79" s="34"/>
      <c r="L79" s="34"/>
      <c r="M79" s="34"/>
      <c r="N79" s="34"/>
      <c r="O79" s="34"/>
      <c r="P79" s="34"/>
      <c r="Q79" s="34"/>
    </row>
    <row r="80" spans="1:17" x14ac:dyDescent="0.3">
      <c r="A80" s="58" t="s">
        <v>194</v>
      </c>
      <c r="B80" s="3">
        <v>2.2999999999999998</v>
      </c>
      <c r="C80" s="3">
        <v>11.5</v>
      </c>
      <c r="D80" s="3">
        <v>27.6</v>
      </c>
      <c r="E80" s="4">
        <v>46</v>
      </c>
      <c r="F80" s="34"/>
      <c r="G80" s="34">
        <v>351</v>
      </c>
      <c r="H80" s="34"/>
      <c r="I80" s="34"/>
      <c r="J80" s="34"/>
      <c r="K80" s="34"/>
      <c r="L80" s="34"/>
      <c r="M80" s="34"/>
      <c r="N80" s="34"/>
      <c r="O80" s="34"/>
      <c r="P80" s="34"/>
      <c r="Q80" s="34"/>
    </row>
    <row r="81" spans="1:17" x14ac:dyDescent="0.3">
      <c r="A81" s="58" t="s">
        <v>195</v>
      </c>
      <c r="B81" s="3">
        <v>2.4500000000000002</v>
      </c>
      <c r="C81" s="3">
        <v>12.25</v>
      </c>
      <c r="D81" s="3">
        <v>29.4</v>
      </c>
      <c r="E81" s="4">
        <v>49</v>
      </c>
      <c r="F81" s="34"/>
      <c r="G81" s="34">
        <v>441</v>
      </c>
      <c r="H81" s="34"/>
      <c r="I81" s="34"/>
      <c r="J81" s="34"/>
      <c r="K81" s="34"/>
      <c r="L81" s="34"/>
      <c r="M81" s="34"/>
      <c r="N81" s="34"/>
      <c r="O81" s="34"/>
      <c r="P81" s="34"/>
      <c r="Q81" s="34"/>
    </row>
    <row r="82" spans="1:17" x14ac:dyDescent="0.3">
      <c r="A82" s="59" t="s">
        <v>196</v>
      </c>
      <c r="B82" s="5">
        <v>2.6</v>
      </c>
      <c r="C82" s="5">
        <v>13</v>
      </c>
      <c r="D82" s="5">
        <v>31.2</v>
      </c>
      <c r="E82" s="6">
        <v>52</v>
      </c>
      <c r="F82" s="34"/>
      <c r="G82" s="34">
        <v>541</v>
      </c>
      <c r="H82" s="34"/>
      <c r="I82" s="34"/>
      <c r="J82" s="34"/>
      <c r="K82" s="34"/>
      <c r="L82" s="34"/>
      <c r="M82" s="34"/>
      <c r="N82" s="34"/>
      <c r="O82" s="34"/>
      <c r="P82" s="34"/>
      <c r="Q82" s="34"/>
    </row>
    <row r="83" spans="1:17" x14ac:dyDescent="0.3">
      <c r="A83" s="56" t="s">
        <v>198</v>
      </c>
      <c r="B83" s="34">
        <v>0</v>
      </c>
      <c r="C83" s="34">
        <v>751</v>
      </c>
      <c r="D83" s="34">
        <v>2001</v>
      </c>
      <c r="E83" s="34">
        <v>3501</v>
      </c>
      <c r="F83" s="34"/>
      <c r="G83" s="34"/>
      <c r="H83" s="34"/>
      <c r="I83" s="34"/>
      <c r="J83" s="34"/>
      <c r="K83" s="34"/>
      <c r="L83" s="34"/>
      <c r="M83" s="34"/>
      <c r="N83" s="34"/>
      <c r="O83" s="34"/>
      <c r="P83" s="34"/>
      <c r="Q83" s="34"/>
    </row>
    <row r="84" spans="1:17" x14ac:dyDescent="0.3">
      <c r="A84" s="60" t="s">
        <v>232</v>
      </c>
      <c r="B84" s="34"/>
      <c r="C84" s="34"/>
      <c r="D84" s="61" t="s">
        <v>233</v>
      </c>
      <c r="E84" s="34"/>
      <c r="F84" s="34"/>
      <c r="G84" s="34"/>
      <c r="H84" s="34"/>
      <c r="I84" s="34"/>
      <c r="J84" s="34"/>
      <c r="K84" s="34"/>
      <c r="L84" s="34"/>
      <c r="M84" s="34"/>
      <c r="N84" s="34"/>
      <c r="O84" s="34"/>
      <c r="P84" s="34"/>
      <c r="Q84" s="34"/>
    </row>
    <row r="85" spans="1:17" ht="15.6" x14ac:dyDescent="0.3">
      <c r="A85" s="52" t="s">
        <v>199</v>
      </c>
      <c r="B85" s="34"/>
      <c r="C85" s="34"/>
      <c r="D85" s="34"/>
      <c r="E85" s="34"/>
      <c r="F85" s="34"/>
      <c r="G85" s="34"/>
      <c r="H85" s="34"/>
      <c r="I85" s="34"/>
      <c r="J85" s="34"/>
      <c r="K85" s="34"/>
      <c r="L85" s="34"/>
      <c r="M85" s="34"/>
      <c r="N85" s="34"/>
      <c r="O85" s="34"/>
      <c r="P85" s="34"/>
      <c r="Q85" s="34"/>
    </row>
    <row r="86" spans="1:17" x14ac:dyDescent="0.3">
      <c r="A86" s="62" t="s">
        <v>200</v>
      </c>
      <c r="B86" s="62"/>
      <c r="C86" s="62"/>
      <c r="D86" s="63">
        <v>70</v>
      </c>
      <c r="E86" s="34"/>
      <c r="F86" s="34"/>
      <c r="G86" s="34"/>
      <c r="H86" s="34"/>
      <c r="I86" s="34"/>
      <c r="J86" s="34"/>
      <c r="K86" s="34"/>
      <c r="L86" s="34"/>
      <c r="M86" s="34"/>
      <c r="N86" s="34"/>
      <c r="O86" s="34"/>
      <c r="P86" s="34"/>
      <c r="Q86" s="34"/>
    </row>
    <row r="87" spans="1:17" x14ac:dyDescent="0.3">
      <c r="A87" s="64" t="s">
        <v>201</v>
      </c>
      <c r="B87" s="64"/>
      <c r="C87" s="64"/>
      <c r="D87" s="65">
        <v>900</v>
      </c>
      <c r="E87" s="34"/>
      <c r="F87" s="34"/>
      <c r="G87" s="34"/>
      <c r="H87" s="34"/>
      <c r="I87" s="34"/>
      <c r="J87" s="34"/>
      <c r="K87" s="34"/>
      <c r="L87" s="34"/>
      <c r="M87" s="34"/>
      <c r="N87" s="34"/>
      <c r="O87" s="34"/>
      <c r="P87" s="34"/>
      <c r="Q87" s="34"/>
    </row>
    <row r="88" spans="1:17" x14ac:dyDescent="0.3">
      <c r="A88" s="64" t="s">
        <v>202</v>
      </c>
      <c r="B88" s="64"/>
      <c r="C88" s="64"/>
      <c r="D88" s="65" t="s">
        <v>203</v>
      </c>
      <c r="E88" s="34"/>
      <c r="F88" s="34"/>
      <c r="G88" s="34"/>
      <c r="H88" s="34"/>
      <c r="I88" s="34"/>
      <c r="J88" s="34"/>
      <c r="K88" s="34"/>
      <c r="L88" s="34"/>
      <c r="M88" s="34"/>
      <c r="N88" s="34"/>
      <c r="O88" s="34"/>
      <c r="P88" s="34"/>
      <c r="Q88" s="34"/>
    </row>
    <row r="89" spans="1:17" x14ac:dyDescent="0.3">
      <c r="A89" s="64" t="s">
        <v>204</v>
      </c>
      <c r="B89" s="64"/>
      <c r="C89" s="64"/>
      <c r="D89" s="7">
        <f>IF(D86&lt;15,0,IFERROR(INDEX($B$73:$E$82,MATCH(D86,$G$73:$G$82,1),MATCH(D87,$B$83:$E$83,1)),0))</f>
        <v>7</v>
      </c>
      <c r="E89" s="34"/>
      <c r="F89" s="34"/>
      <c r="G89" s="34"/>
      <c r="H89" s="34"/>
      <c r="I89" s="34"/>
      <c r="J89" s="34"/>
      <c r="K89" s="34"/>
      <c r="L89" s="34"/>
      <c r="M89" s="34"/>
      <c r="N89" s="34"/>
      <c r="O89" s="34"/>
      <c r="P89" s="34"/>
      <c r="Q89" s="34"/>
    </row>
    <row r="90" spans="1:17" x14ac:dyDescent="0.3">
      <c r="A90" s="64" t="s">
        <v>205</v>
      </c>
      <c r="B90" s="64"/>
      <c r="C90" s="64"/>
      <c r="D90" s="12">
        <f>IF(D86&lt;14,IF(D88="International",$D$66,$D$67),IF(D88="International",$D$64,$D$65))</f>
        <v>105.84</v>
      </c>
      <c r="E90" s="34"/>
      <c r="F90" s="34"/>
      <c r="G90" s="34"/>
      <c r="H90" s="34"/>
      <c r="I90" s="34"/>
      <c r="J90" s="34"/>
      <c r="K90" s="34"/>
      <c r="L90" s="34"/>
      <c r="M90" s="34"/>
      <c r="N90" s="34"/>
      <c r="O90" s="34"/>
      <c r="P90" s="34"/>
      <c r="Q90" s="34"/>
    </row>
    <row r="91" spans="1:17" x14ac:dyDescent="0.3">
      <c r="A91" s="66" t="s">
        <v>206</v>
      </c>
      <c r="B91" s="67"/>
      <c r="C91" s="67"/>
      <c r="D91" s="13">
        <f>IF(D86&lt;14,D90,D90*D89)</f>
        <v>740.88</v>
      </c>
      <c r="E91" s="34"/>
      <c r="F91" s="34"/>
      <c r="G91" s="34"/>
      <c r="H91" s="34"/>
      <c r="I91" s="34"/>
      <c r="J91" s="34"/>
      <c r="K91" s="34"/>
      <c r="L91" s="34"/>
      <c r="M91" s="34"/>
      <c r="N91" s="34"/>
      <c r="O91" s="34"/>
      <c r="P91" s="34"/>
      <c r="Q91" s="3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F46D-4370-4681-AC75-6BA0814F75C9}">
  <dimension ref="A1:P76"/>
  <sheetViews>
    <sheetView tabSelected="1" zoomScaleNormal="100" workbookViewId="0">
      <pane ySplit="3" topLeftCell="A4" activePane="bottomLeft" state="frozen"/>
      <selection pane="bottomLeft" activeCell="Q21" sqref="Q21"/>
    </sheetView>
  </sheetViews>
  <sheetFormatPr defaultColWidth="11.88671875" defaultRowHeight="15.6" x14ac:dyDescent="0.3"/>
  <cols>
    <col min="1" max="1" width="23.88671875" style="14" customWidth="1"/>
    <col min="2" max="2" width="8.88671875" style="14" customWidth="1"/>
    <col min="3" max="3" width="9.21875" style="14" customWidth="1"/>
    <col min="4" max="4" width="8" style="14" customWidth="1"/>
    <col min="5" max="5" width="8.77734375" style="14" customWidth="1"/>
    <col min="6" max="6" width="8.88671875" style="14" customWidth="1"/>
    <col min="7" max="7" width="7.5546875" style="14" customWidth="1"/>
    <col min="8" max="8" width="7.6640625" style="14" customWidth="1"/>
    <col min="9" max="10" width="0" style="14" hidden="1" customWidth="1"/>
    <col min="11" max="11" width="0.5546875" style="14" customWidth="1"/>
    <col min="12" max="12" width="8.109375" style="14" customWidth="1"/>
    <col min="13" max="13" width="9.21875" style="14" customWidth="1"/>
    <col min="14" max="14" width="7.109375" style="14" customWidth="1"/>
    <col min="15" max="15" width="10" style="14" customWidth="1"/>
    <col min="16" max="16" width="9.6640625" style="14" customWidth="1"/>
    <col min="17" max="16384" width="11.88671875" style="14"/>
  </cols>
  <sheetData>
    <row r="1" spans="1:16" x14ac:dyDescent="0.3">
      <c r="A1" s="17" t="s">
        <v>239</v>
      </c>
      <c r="B1" s="17"/>
      <c r="C1" s="17"/>
      <c r="D1" s="17"/>
      <c r="E1" s="17"/>
      <c r="F1" s="17"/>
      <c r="G1" s="17"/>
      <c r="H1" s="17"/>
      <c r="I1" s="17"/>
      <c r="J1" s="17"/>
      <c r="K1" s="17"/>
      <c r="L1" s="17"/>
      <c r="M1" s="17"/>
      <c r="N1" s="17"/>
      <c r="O1" s="17"/>
      <c r="P1" s="18"/>
    </row>
    <row r="2" spans="1:16" ht="10.199999999999999" customHeight="1" x14ac:dyDescent="0.3">
      <c r="A2" s="18"/>
      <c r="B2" s="18"/>
      <c r="C2" s="18"/>
      <c r="D2" s="18"/>
      <c r="E2" s="18"/>
      <c r="F2" s="18"/>
      <c r="G2" s="18"/>
      <c r="H2" s="18"/>
      <c r="I2" s="18"/>
      <c r="J2" s="18"/>
      <c r="K2" s="18"/>
      <c r="L2" s="18"/>
      <c r="M2" s="18"/>
      <c r="N2" s="18"/>
      <c r="O2" s="18"/>
      <c r="P2" s="18"/>
    </row>
    <row r="3" spans="1:16" ht="89.4" customHeight="1" x14ac:dyDescent="0.3">
      <c r="A3" s="19" t="s">
        <v>2</v>
      </c>
      <c r="B3" s="20" t="s">
        <v>252</v>
      </c>
      <c r="C3" s="20" t="s">
        <v>253</v>
      </c>
      <c r="D3" s="20" t="s">
        <v>254</v>
      </c>
      <c r="E3" s="20" t="s">
        <v>255</v>
      </c>
      <c r="F3" s="20" t="s">
        <v>256</v>
      </c>
      <c r="G3" s="20" t="s">
        <v>257</v>
      </c>
      <c r="H3" s="20" t="s">
        <v>258</v>
      </c>
      <c r="I3" s="20" t="s">
        <v>240</v>
      </c>
      <c r="J3" s="20" t="s">
        <v>241</v>
      </c>
      <c r="K3" s="20" t="s">
        <v>242</v>
      </c>
      <c r="L3" s="21" t="s">
        <v>259</v>
      </c>
      <c r="M3" s="21" t="s">
        <v>260</v>
      </c>
      <c r="N3" s="21" t="s">
        <v>261</v>
      </c>
      <c r="O3" s="22" t="s">
        <v>262</v>
      </c>
      <c r="P3" s="22" t="s">
        <v>263</v>
      </c>
    </row>
    <row r="4" spans="1:16" ht="25.2" customHeight="1" x14ac:dyDescent="0.3">
      <c r="A4" s="23" t="str">
        <f>Collector!A5</f>
        <v>Algeria</v>
      </c>
      <c r="B4" s="68">
        <v>0</v>
      </c>
      <c r="C4" s="68">
        <v>0</v>
      </c>
      <c r="D4" s="69">
        <v>20</v>
      </c>
      <c r="E4" s="68">
        <f>IF(Collector!E5="Yes",Collector!$D$64*$D$68,0)</f>
        <v>0</v>
      </c>
      <c r="F4" s="68">
        <f>IF(Collector!E5="Yes",Collector!$D$66*$D$68,0)</f>
        <v>0</v>
      </c>
      <c r="G4" s="68">
        <f>IF(Collector!F5="SADC VSAT",$D$61,0)</f>
        <v>0</v>
      </c>
      <c r="H4" s="68">
        <f>IF(Collector!F5="NAFISAT",$D$62,0)</f>
        <v>10</v>
      </c>
      <c r="I4" s="24" t="str">
        <f>IF(Collector!F5="AFISNET",$D$63,"n/a")</f>
        <v>n/a</v>
      </c>
      <c r="J4" s="24" t="str">
        <f>Collector!M5</f>
        <v>National unit rate x distance x sqrt(MTOW/50)</v>
      </c>
      <c r="K4" s="24" t="str">
        <f>IF(Collector!P5="","—",Collector!P5)</f>
        <v>CAA permit fee and en-route unit rate published only in national AIP GEN 4 / AIC — obtain current circular.</v>
      </c>
      <c r="L4" s="70">
        <f>$D$74</f>
        <v>50</v>
      </c>
      <c r="M4" s="70">
        <f>$D$75</f>
        <v>100</v>
      </c>
      <c r="N4" s="71">
        <f>$D$76</f>
        <v>40</v>
      </c>
      <c r="O4" s="72">
        <f>B4+E4+F4+G4+H4+L4</f>
        <v>60</v>
      </c>
      <c r="P4" s="72">
        <f>C4+E4+F4+G4+H4+M4</f>
        <v>110</v>
      </c>
    </row>
    <row r="5" spans="1:16" ht="25.2" customHeight="1" x14ac:dyDescent="0.3">
      <c r="A5" s="23" t="str">
        <f>Collector!A6</f>
        <v>Angola</v>
      </c>
      <c r="B5" s="68">
        <v>0</v>
      </c>
      <c r="C5" s="68">
        <v>0</v>
      </c>
      <c r="D5" s="69">
        <v>20</v>
      </c>
      <c r="E5" s="68">
        <f>IF(Collector!E6="Yes",Collector!$D$64*$D$68,0)</f>
        <v>0</v>
      </c>
      <c r="F5" s="68">
        <f>IF(Collector!E6="Yes",Collector!$D$66*$D$68,0)</f>
        <v>0</v>
      </c>
      <c r="G5" s="68">
        <f>IF(Collector!F6="SADC VSAT",$D$61,0)</f>
        <v>9.6</v>
      </c>
      <c r="H5" s="68">
        <f>IF(Collector!F6="NAFISAT",$D$62,0)</f>
        <v>0</v>
      </c>
      <c r="I5" s="24" t="str">
        <f>IF(Collector!F6="AFISNET",$D$63,"n/a")</f>
        <v>n/a</v>
      </c>
      <c r="J5" s="24" t="str">
        <f>Collector!M6</f>
        <v>National unit rate x distance x sqrt(MTOW/50)</v>
      </c>
      <c r="K5" s="24" t="str">
        <f>IF(Collector!P6="","—",Collector!P6)</f>
        <v>CAA permit fee and en-route unit rate published only in national AIP GEN 4 / AIC — obtain current circular.</v>
      </c>
      <c r="L5" s="70">
        <f>$D$74</f>
        <v>50</v>
      </c>
      <c r="M5" s="70">
        <f>$D$75</f>
        <v>100</v>
      </c>
      <c r="N5" s="71">
        <f>$D$76</f>
        <v>40</v>
      </c>
      <c r="O5" s="72">
        <f t="shared" ref="O5:O57" si="0">B5+E5+F5+G5+H5+L5</f>
        <v>59.6</v>
      </c>
      <c r="P5" s="72">
        <f t="shared" ref="P5:P57" si="1">C5+E5+F5+G5+H5+M5</f>
        <v>109.6</v>
      </c>
    </row>
    <row r="6" spans="1:16" ht="25.2" customHeight="1" x14ac:dyDescent="0.3">
      <c r="A6" s="23" t="str">
        <f>Collector!A7</f>
        <v>Benin</v>
      </c>
      <c r="B6" s="68">
        <v>120</v>
      </c>
      <c r="C6" s="68">
        <v>120</v>
      </c>
      <c r="D6" s="69">
        <v>20</v>
      </c>
      <c r="E6" s="68">
        <f>IF(Collector!E7="Yes",Collector!$D$64*$D$68,0)</f>
        <v>122.29812</v>
      </c>
      <c r="F6" s="68">
        <f>IF(Collector!E7="Yes",Collector!$D$66*$D$68,0)</f>
        <v>244.60779499999998</v>
      </c>
      <c r="G6" s="68">
        <f>IF(Collector!F7="SADC VSAT",$D$61,0)</f>
        <v>0</v>
      </c>
      <c r="H6" s="68">
        <f>IF(Collector!F7="NAFISAT",$D$62,0)</f>
        <v>0</v>
      </c>
      <c r="I6" s="24" t="str">
        <f>IF(Collector!F7="AFISNET",$D$63,"n/a")</f>
        <v>Not published separately</v>
      </c>
      <c r="J6" s="24" t="str">
        <f>Collector!M7</f>
        <v>ASECNA: unit charge x coefficient — see calculator rows 61-91</v>
      </c>
      <c r="K6" s="24" t="str">
        <f>IF(Collector!P7="","—",Collector!P7)</f>
        <v>CAA overflight/landing permit fee is an administrative charge — not published in AIP; obtain from CAA or handler. En-route billed by ASECNA.</v>
      </c>
      <c r="L6" s="70">
        <f>$D$74</f>
        <v>50</v>
      </c>
      <c r="M6" s="70">
        <f>$D$75</f>
        <v>100</v>
      </c>
      <c r="N6" s="71">
        <f>$D$76</f>
        <v>40</v>
      </c>
      <c r="O6" s="72">
        <f t="shared" si="0"/>
        <v>536.90591499999994</v>
      </c>
      <c r="P6" s="72">
        <f t="shared" si="1"/>
        <v>586.90591499999994</v>
      </c>
    </row>
    <row r="7" spans="1:16" ht="25.2" customHeight="1" x14ac:dyDescent="0.3">
      <c r="A7" s="23" t="str">
        <f>Collector!A8</f>
        <v>Botswana</v>
      </c>
      <c r="B7" s="68">
        <v>0</v>
      </c>
      <c r="C7" s="68">
        <v>0</v>
      </c>
      <c r="D7" s="69">
        <v>20</v>
      </c>
      <c r="E7" s="68">
        <f>IF(Collector!E8="Yes",Collector!$D$64*$D$68,0)</f>
        <v>0</v>
      </c>
      <c r="F7" s="68">
        <f>IF(Collector!E8="Yes",Collector!$D$66*$D$68,0)</f>
        <v>0</v>
      </c>
      <c r="G7" s="68">
        <f>IF(Collector!F8="SADC VSAT",$D$61,0)</f>
        <v>9.6</v>
      </c>
      <c r="H7" s="68">
        <f>IF(Collector!F8="NAFISAT",$D$62,0)</f>
        <v>0</v>
      </c>
      <c r="I7" s="24" t="str">
        <f>IF(Collector!F8="AFISNET",$D$63,"n/a")</f>
        <v>n/a</v>
      </c>
      <c r="J7" s="24" t="str">
        <f>Collector!M8</f>
        <v>National unit rate x distance x sqrt(MTOW/50)</v>
      </c>
      <c r="K7" s="24" t="str">
        <f>IF(Collector!P8="","—",Collector!P8)</f>
        <v>CAA permit fee and en-route unit rate published only in national AIP GEN 4 / AIC — obtain current circular.</v>
      </c>
      <c r="L7" s="70">
        <f>$D$74</f>
        <v>50</v>
      </c>
      <c r="M7" s="70">
        <f>$D$75</f>
        <v>100</v>
      </c>
      <c r="N7" s="71">
        <f>$D$76</f>
        <v>40</v>
      </c>
      <c r="O7" s="72">
        <f t="shared" si="0"/>
        <v>59.6</v>
      </c>
      <c r="P7" s="72">
        <f t="shared" si="1"/>
        <v>109.6</v>
      </c>
    </row>
    <row r="8" spans="1:16" ht="25.2" customHeight="1" x14ac:dyDescent="0.3">
      <c r="A8" s="23" t="str">
        <f>Collector!A9</f>
        <v>Burkina Faso</v>
      </c>
      <c r="B8" s="68">
        <v>0</v>
      </c>
      <c r="C8" s="68">
        <v>0</v>
      </c>
      <c r="D8" s="69">
        <v>20</v>
      </c>
      <c r="E8" s="68">
        <f>IF(Collector!E9="Yes",Collector!$D$64*$D$68,0)</f>
        <v>122.29812</v>
      </c>
      <c r="F8" s="68">
        <f>IF(Collector!E9="Yes",Collector!$D$66*$D$68,0)</f>
        <v>244.60779499999998</v>
      </c>
      <c r="G8" s="68">
        <f>IF(Collector!F9="SADC VSAT",$D$61,0)</f>
        <v>0</v>
      </c>
      <c r="H8" s="68">
        <f>IF(Collector!F9="NAFISAT",$D$62,0)</f>
        <v>0</v>
      </c>
      <c r="I8" s="24" t="str">
        <f>IF(Collector!F9="AFISNET",$D$63,"n/a")</f>
        <v>Not published separately</v>
      </c>
      <c r="J8" s="24" t="str">
        <f>Collector!M9</f>
        <v>ASECNA: unit charge x coefficient — see calculator rows 61-91</v>
      </c>
      <c r="K8" s="24" t="str">
        <f>IF(Collector!P9="","—",Collector!P9)</f>
        <v>CAA overflight/landing permit fee is an administrative charge — not published in AIP; obtain from CAA or handler. En-route billed by ASECNA.</v>
      </c>
      <c r="L8" s="70">
        <f>$D$74</f>
        <v>50</v>
      </c>
      <c r="M8" s="70">
        <f>$D$75</f>
        <v>100</v>
      </c>
      <c r="N8" s="71">
        <f>$D$76</f>
        <v>40</v>
      </c>
      <c r="O8" s="72">
        <f t="shared" si="0"/>
        <v>416.90591499999999</v>
      </c>
      <c r="P8" s="72">
        <f t="shared" si="1"/>
        <v>466.90591499999999</v>
      </c>
    </row>
    <row r="9" spans="1:16" ht="25.2" customHeight="1" x14ac:dyDescent="0.3">
      <c r="A9" s="23" t="str">
        <f>Collector!A10</f>
        <v>Burundi</v>
      </c>
      <c r="B9" s="68">
        <v>30</v>
      </c>
      <c r="C9" s="68">
        <v>50</v>
      </c>
      <c r="D9" s="69">
        <v>20</v>
      </c>
      <c r="E9" s="68">
        <f>IF(Collector!E10="Yes",Collector!$D$64*$D$68,0)</f>
        <v>0</v>
      </c>
      <c r="F9" s="68">
        <f>IF(Collector!E10="Yes",Collector!$D$66*$D$68,0)</f>
        <v>0</v>
      </c>
      <c r="G9" s="68">
        <f>IF(Collector!F10="SADC VSAT",$D$61,0)</f>
        <v>0</v>
      </c>
      <c r="H9" s="68">
        <f>IF(Collector!F10="NAFISAT",$D$62,0)</f>
        <v>0</v>
      </c>
      <c r="I9" s="24" t="str">
        <f>IF(Collector!F10="AFISNET",$D$63,"n/a")</f>
        <v>n/a</v>
      </c>
      <c r="J9" s="24" t="str">
        <f>Collector!M10</f>
        <v>National unit rate x distance x sqrt(MTOW/50)</v>
      </c>
      <c r="K9" s="24" t="str">
        <f>IF(Collector!P10="","—",Collector!P10)</f>
        <v>CAA permit fee and en-route unit rate published only in national AIP GEN 4 / AIC — obtain current circular.</v>
      </c>
      <c r="L9" s="70">
        <f>$D$74</f>
        <v>50</v>
      </c>
      <c r="M9" s="70">
        <f>$D$75</f>
        <v>100</v>
      </c>
      <c r="N9" s="71">
        <f>$D$76</f>
        <v>40</v>
      </c>
      <c r="O9" s="72">
        <f t="shared" si="0"/>
        <v>80</v>
      </c>
      <c r="P9" s="72">
        <f t="shared" si="1"/>
        <v>150</v>
      </c>
    </row>
    <row r="10" spans="1:16" ht="25.2" customHeight="1" x14ac:dyDescent="0.3">
      <c r="A10" s="23" t="str">
        <f>Collector!A11</f>
        <v>Cabo Verde</v>
      </c>
      <c r="B10" s="68">
        <v>0</v>
      </c>
      <c r="C10" s="68">
        <v>0</v>
      </c>
      <c r="D10" s="69">
        <v>20</v>
      </c>
      <c r="E10" s="68">
        <f>IF(Collector!E11="Yes",Collector!$D$64*$D$68,0)</f>
        <v>0</v>
      </c>
      <c r="F10" s="68">
        <f>IF(Collector!E11="Yes",Collector!$D$66*$D$68,0)</f>
        <v>0</v>
      </c>
      <c r="G10" s="68">
        <f>IF(Collector!F11="SADC VSAT",$D$61,0)</f>
        <v>0</v>
      </c>
      <c r="H10" s="68">
        <f>IF(Collector!F11="NAFISAT",$D$62,0)</f>
        <v>0</v>
      </c>
      <c r="I10" s="24" t="str">
        <f>IF(Collector!F11="AFISNET",$D$63,"n/a")</f>
        <v>n/a</v>
      </c>
      <c r="J10" s="24" t="str">
        <f>Collector!M11</f>
        <v>National unit rate x distance x sqrt(MTOW/50)</v>
      </c>
      <c r="K10" s="24" t="str">
        <f>IF(Collector!P11="","—",Collector!P11)</f>
        <v>CAA permit fee and en-route unit rate published only in national AIP GEN 4 / AIC — obtain current circular.</v>
      </c>
      <c r="L10" s="70">
        <f>$D$74</f>
        <v>50</v>
      </c>
      <c r="M10" s="70">
        <f>$D$75</f>
        <v>100</v>
      </c>
      <c r="N10" s="71">
        <f>$D$76</f>
        <v>40</v>
      </c>
      <c r="O10" s="72">
        <f t="shared" si="0"/>
        <v>50</v>
      </c>
      <c r="P10" s="72">
        <f t="shared" si="1"/>
        <v>100</v>
      </c>
    </row>
    <row r="11" spans="1:16" ht="25.2" customHeight="1" x14ac:dyDescent="0.3">
      <c r="A11" s="23" t="str">
        <f>Collector!A12</f>
        <v>Cameroon</v>
      </c>
      <c r="B11" s="68">
        <v>0</v>
      </c>
      <c r="C11" s="68">
        <v>0</v>
      </c>
      <c r="D11" s="69">
        <v>20</v>
      </c>
      <c r="E11" s="68">
        <f>IF(Collector!E12="Yes",Collector!$D$64*$D$68,0)</f>
        <v>122.29812</v>
      </c>
      <c r="F11" s="68">
        <f>IF(Collector!E12="Yes",Collector!$D$66*$D$68,0)</f>
        <v>244.60779499999998</v>
      </c>
      <c r="G11" s="68">
        <f>IF(Collector!F12="SADC VSAT",$D$61,0)</f>
        <v>0</v>
      </c>
      <c r="H11" s="68">
        <f>IF(Collector!F12="NAFISAT",$D$62,0)</f>
        <v>0</v>
      </c>
      <c r="I11" s="24" t="str">
        <f>IF(Collector!F12="AFISNET",$D$63,"n/a")</f>
        <v>Not published separately</v>
      </c>
      <c r="J11" s="24" t="str">
        <f>Collector!M12</f>
        <v>ASECNA: unit charge x coefficient — see calculator rows 61-91</v>
      </c>
      <c r="K11" s="24" t="str">
        <f>IF(Collector!P12="","—",Collector!P12)</f>
        <v>CCAA development licence fee: XAF 15,000 per aircraft + XAF 10,000 per passenger (UN aircraft exempt)</v>
      </c>
      <c r="L11" s="70">
        <f>$D$74</f>
        <v>50</v>
      </c>
      <c r="M11" s="70">
        <f>$D$75</f>
        <v>100</v>
      </c>
      <c r="N11" s="71">
        <f>$D$76</f>
        <v>40</v>
      </c>
      <c r="O11" s="72">
        <f t="shared" si="0"/>
        <v>416.90591499999999</v>
      </c>
      <c r="P11" s="72">
        <f t="shared" si="1"/>
        <v>466.90591499999999</v>
      </c>
    </row>
    <row r="12" spans="1:16" ht="25.2" customHeight="1" x14ac:dyDescent="0.3">
      <c r="A12" s="23" t="str">
        <f>Collector!A13</f>
        <v>Central African Republic</v>
      </c>
      <c r="B12" s="68">
        <f>72*$D$68</f>
        <v>83.195999999999998</v>
      </c>
      <c r="C12" s="68">
        <v>0</v>
      </c>
      <c r="D12" s="69">
        <f>228*$D$68</f>
        <v>263.45400000000001</v>
      </c>
      <c r="E12" s="68">
        <f>IF(Collector!E13="Yes",Collector!$D$64*$D$68,0)</f>
        <v>122.29812</v>
      </c>
      <c r="F12" s="68">
        <f>IF(Collector!E13="Yes",Collector!$D$66*$D$68,0)</f>
        <v>244.60779499999998</v>
      </c>
      <c r="G12" s="68">
        <f>IF(Collector!F13="SADC VSAT",$D$61,0)</f>
        <v>0</v>
      </c>
      <c r="H12" s="68">
        <f>IF(Collector!F13="NAFISAT",$D$62,0)</f>
        <v>0</v>
      </c>
      <c r="I12" s="24" t="str">
        <f>IF(Collector!F13="AFISNET",$D$63,"n/a")</f>
        <v>Not published separately</v>
      </c>
      <c r="J12" s="24" t="str">
        <f>Collector!M13</f>
        <v>ASECNA: unit charge x coefficient — see calculator rows 61-91</v>
      </c>
      <c r="K12" s="24" t="str">
        <f>IF(Collector!P13="","—",Collector!P13)</f>
        <v>CAA overflight/landing permit fee is an administrative charge — not published in AIP; obtain from CAA or handler. En-route billed by ASECNA.</v>
      </c>
      <c r="L12" s="70">
        <f>$D$74</f>
        <v>50</v>
      </c>
      <c r="M12" s="70">
        <f>$D$75</f>
        <v>100</v>
      </c>
      <c r="N12" s="71">
        <f>$D$76</f>
        <v>40</v>
      </c>
      <c r="O12" s="72">
        <f t="shared" si="0"/>
        <v>500.10191499999996</v>
      </c>
      <c r="P12" s="72">
        <f t="shared" si="1"/>
        <v>466.90591499999999</v>
      </c>
    </row>
    <row r="13" spans="1:16" ht="25.2" customHeight="1" x14ac:dyDescent="0.3">
      <c r="A13" s="23" t="str">
        <f>Collector!A14</f>
        <v>Chad</v>
      </c>
      <c r="B13" s="68">
        <v>20</v>
      </c>
      <c r="C13" s="68">
        <v>20</v>
      </c>
      <c r="D13" s="69">
        <v>20</v>
      </c>
      <c r="E13" s="68">
        <f>IF(Collector!E14="Yes",Collector!$D$64*$D$68,0)</f>
        <v>122.29812</v>
      </c>
      <c r="F13" s="68">
        <f>IF(Collector!E14="Yes",Collector!$D$66*$D$68,0)</f>
        <v>244.60779499999998</v>
      </c>
      <c r="G13" s="68">
        <f>IF(Collector!F14="SADC VSAT",$D$61,0)</f>
        <v>0</v>
      </c>
      <c r="H13" s="68">
        <f>IF(Collector!F14="NAFISAT",$D$62,0)</f>
        <v>10</v>
      </c>
      <c r="I13" s="24" t="str">
        <f>IF(Collector!F14="AFISNET",$D$63,"n/a")</f>
        <v>n/a</v>
      </c>
      <c r="J13" s="24" t="str">
        <f>Collector!M14</f>
        <v>ASECNA: unit charge x coefficient — see calculator rows 61-91</v>
      </c>
      <c r="K13" s="24" t="str">
        <f>IF(Collector!P14="","—",Collector!P14)</f>
        <v>CAA overflight/landing permit fee is an administrative charge — not published in AIP; obtain from CAA or handler. En-route billed by ASECNA.</v>
      </c>
      <c r="L13" s="70">
        <f>$D$74</f>
        <v>50</v>
      </c>
      <c r="M13" s="70">
        <f>$D$75</f>
        <v>100</v>
      </c>
      <c r="N13" s="71">
        <f>$D$76</f>
        <v>40</v>
      </c>
      <c r="O13" s="72">
        <f t="shared" si="0"/>
        <v>446.90591499999994</v>
      </c>
      <c r="P13" s="72">
        <f t="shared" si="1"/>
        <v>496.90591499999994</v>
      </c>
    </row>
    <row r="14" spans="1:16" ht="25.2" customHeight="1" x14ac:dyDescent="0.3">
      <c r="A14" s="23" t="str">
        <f>Collector!A15</f>
        <v>Comoros</v>
      </c>
      <c r="B14" s="68">
        <f>150*$D$68</f>
        <v>173.32499999999999</v>
      </c>
      <c r="C14" s="68">
        <f>150*$D$68</f>
        <v>173.32499999999999</v>
      </c>
      <c r="D14" s="69">
        <v>50</v>
      </c>
      <c r="E14" s="68">
        <f>IF(Collector!E15="Yes",Collector!$D$64*$D$68,0)</f>
        <v>122.29812</v>
      </c>
      <c r="F14" s="68">
        <f>IF(Collector!E15="Yes",Collector!$D$66*$D$68,0)</f>
        <v>244.60779499999998</v>
      </c>
      <c r="G14" s="68">
        <f>IF(Collector!F15="SADC VSAT",$D$61,0)</f>
        <v>0</v>
      </c>
      <c r="H14" s="68">
        <f>IF(Collector!F15="NAFISAT",$D$62,0)</f>
        <v>0</v>
      </c>
      <c r="I14" s="24" t="str">
        <f>IF(Collector!F15="AFISNET",$D$63,"n/a")</f>
        <v>n/a</v>
      </c>
      <c r="J14" s="24" t="str">
        <f>Collector!M15</f>
        <v>ASECNA: unit charge x coefficient — see calculator rows 61-91</v>
      </c>
      <c r="K14" s="24" t="str">
        <f>IF(Collector!P15="","—",Collector!P15)</f>
        <v>CAA overflight/landing permit fee is an administrative charge — not published in AIP; obtain from CAA or handler. En-route billed by ASECNA.</v>
      </c>
      <c r="L14" s="70">
        <f>$D$74</f>
        <v>50</v>
      </c>
      <c r="M14" s="70">
        <f>$D$75</f>
        <v>100</v>
      </c>
      <c r="N14" s="71">
        <f>$D$76</f>
        <v>40</v>
      </c>
      <c r="O14" s="72">
        <f t="shared" si="0"/>
        <v>590.23091499999998</v>
      </c>
      <c r="P14" s="72">
        <f t="shared" si="1"/>
        <v>640.23091499999998</v>
      </c>
    </row>
    <row r="15" spans="1:16" ht="29.4" customHeight="1" x14ac:dyDescent="0.3">
      <c r="A15" s="23" t="str">
        <f>Collector!A16</f>
        <v>Congo (Republic of)</v>
      </c>
      <c r="B15" s="68">
        <v>0</v>
      </c>
      <c r="C15" s="68">
        <v>0</v>
      </c>
      <c r="D15" s="69">
        <v>50</v>
      </c>
      <c r="E15" s="68">
        <f>IF(Collector!E16="Yes",Collector!$D$64*$D$68,0)</f>
        <v>122.29812</v>
      </c>
      <c r="F15" s="68">
        <f>IF(Collector!E16="Yes",Collector!$D$66*$D$68,0)</f>
        <v>244.60779499999998</v>
      </c>
      <c r="G15" s="68">
        <f>IF(Collector!F16="SADC VSAT",$D$61,0)</f>
        <v>0</v>
      </c>
      <c r="H15" s="68">
        <f>IF(Collector!F16="NAFISAT",$D$62,0)</f>
        <v>0</v>
      </c>
      <c r="I15" s="24" t="str">
        <f>IF(Collector!F16="AFISNET",$D$63,"n/a")</f>
        <v>Not published separately</v>
      </c>
      <c r="J15" s="24" t="str">
        <f>Collector!M16</f>
        <v>ASECNA: unit charge x coefficient — see calculator rows 61-91</v>
      </c>
      <c r="K15" s="24" t="str">
        <f>IF(Collector!P16="","—",Collector!P16)</f>
        <v>CAA overflight/landing permit fee is an administrative charge — not published in AIP; obtain from CAA or handler. En-route billed by ASECNA.</v>
      </c>
      <c r="L15" s="70">
        <f>$D$74</f>
        <v>50</v>
      </c>
      <c r="M15" s="70">
        <f>$D$75</f>
        <v>100</v>
      </c>
      <c r="N15" s="71">
        <f>$D$76</f>
        <v>40</v>
      </c>
      <c r="O15" s="72">
        <f t="shared" si="0"/>
        <v>416.90591499999999</v>
      </c>
      <c r="P15" s="72">
        <f t="shared" si="1"/>
        <v>466.90591499999999</v>
      </c>
    </row>
    <row r="16" spans="1:16" ht="25.2" customHeight="1" x14ac:dyDescent="0.3">
      <c r="A16" s="23" t="str">
        <f>Collector!A17</f>
        <v>Congo (DRC)</v>
      </c>
      <c r="B16" s="68">
        <v>50</v>
      </c>
      <c r="C16" s="68">
        <v>250</v>
      </c>
      <c r="D16" s="69">
        <v>100</v>
      </c>
      <c r="E16" s="68">
        <f>IF(Collector!E17="Yes",Collector!$D$64*$D$68,0)</f>
        <v>0</v>
      </c>
      <c r="F16" s="68">
        <f>IF(Collector!E17="Yes",Collector!$D$66*$D$68,0)</f>
        <v>0</v>
      </c>
      <c r="G16" s="68">
        <f>IF(Collector!F17="SADC VSAT",$D$61,0)</f>
        <v>9.6</v>
      </c>
      <c r="H16" s="68">
        <f>IF(Collector!F17="NAFISAT",$D$62,0)</f>
        <v>0</v>
      </c>
      <c r="I16" s="24" t="str">
        <f>IF(Collector!F17="AFISNET",$D$63,"n/a")</f>
        <v>n/a</v>
      </c>
      <c r="J16" s="24" t="str">
        <f>Collector!M17</f>
        <v>National unit rate x distance x sqrt(MTOW/50)</v>
      </c>
      <c r="K16" s="24" t="str">
        <f>IF(Collector!P17="","—",Collector!P17)</f>
        <v>CAA permit fee and en-route unit rate published only in national AIP GEN 4 / AIC — obtain current circular.</v>
      </c>
      <c r="L16" s="70">
        <f>$D$74</f>
        <v>50</v>
      </c>
      <c r="M16" s="70">
        <f>$D$75</f>
        <v>100</v>
      </c>
      <c r="N16" s="71">
        <f>$D$76</f>
        <v>40</v>
      </c>
      <c r="O16" s="72">
        <f t="shared" si="0"/>
        <v>109.6</v>
      </c>
      <c r="P16" s="72">
        <f t="shared" si="1"/>
        <v>359.6</v>
      </c>
    </row>
    <row r="17" spans="1:16" ht="25.2" customHeight="1" x14ac:dyDescent="0.3">
      <c r="A17" s="23" t="str">
        <f>Collector!A18</f>
        <v>Côte d'Ivoire</v>
      </c>
      <c r="B17" s="68">
        <v>20</v>
      </c>
      <c r="C17" s="68">
        <v>200</v>
      </c>
      <c r="D17" s="69">
        <v>20</v>
      </c>
      <c r="E17" s="68">
        <f>IF(Collector!E18="Yes",Collector!$D$64*$D$68,0)</f>
        <v>122.29812</v>
      </c>
      <c r="F17" s="68">
        <f>IF(Collector!E18="Yes",Collector!$D$66*$D$68,0)</f>
        <v>244.60779499999998</v>
      </c>
      <c r="G17" s="68">
        <f>IF(Collector!F18="SADC VSAT",$D$61,0)</f>
        <v>0</v>
      </c>
      <c r="H17" s="68">
        <f>IF(Collector!F18="NAFISAT",$D$62,0)</f>
        <v>0</v>
      </c>
      <c r="I17" s="24" t="str">
        <f>IF(Collector!F18="AFISNET",$D$63,"n/a")</f>
        <v>Not published separately</v>
      </c>
      <c r="J17" s="24" t="str">
        <f>Collector!M18</f>
        <v>ASECNA: unit charge x coefficient — see calculator rows 61-91</v>
      </c>
      <c r="K17" s="24" t="str">
        <f>IF(Collector!P18="","—",Collector!P18)</f>
        <v>CAA overflight/landing permit fee is an administrative charge — not published in AIP; obtain from CAA or handler. En-route billed by ASECNA.</v>
      </c>
      <c r="L17" s="70">
        <f>$D$74</f>
        <v>50</v>
      </c>
      <c r="M17" s="70">
        <f>$D$75</f>
        <v>100</v>
      </c>
      <c r="N17" s="71">
        <f>$D$76</f>
        <v>40</v>
      </c>
      <c r="O17" s="72">
        <f t="shared" si="0"/>
        <v>436.90591499999994</v>
      </c>
      <c r="P17" s="72">
        <f t="shared" si="1"/>
        <v>666.90591499999994</v>
      </c>
    </row>
    <row r="18" spans="1:16" ht="25.2" customHeight="1" x14ac:dyDescent="0.3">
      <c r="A18" s="23" t="str">
        <f>Collector!A19</f>
        <v>Djibouti</v>
      </c>
      <c r="B18" s="68">
        <v>20</v>
      </c>
      <c r="C18" s="68">
        <v>20</v>
      </c>
      <c r="D18" s="69">
        <v>20</v>
      </c>
      <c r="E18" s="68">
        <f>IF(Collector!E19="Yes",Collector!$D$64*$D$68,0)</f>
        <v>0</v>
      </c>
      <c r="F18" s="68">
        <f>IF(Collector!E19="Yes",Collector!$D$66*$D$68,0)</f>
        <v>0</v>
      </c>
      <c r="G18" s="68">
        <f>IF(Collector!F19="SADC VSAT",$D$61,0)</f>
        <v>0</v>
      </c>
      <c r="H18" s="68">
        <f>IF(Collector!F19="NAFISAT",$D$62,0)</f>
        <v>10</v>
      </c>
      <c r="I18" s="24" t="str">
        <f>IF(Collector!F19="AFISNET",$D$63,"n/a")</f>
        <v>n/a</v>
      </c>
      <c r="J18" s="24" t="str">
        <f>Collector!M19</f>
        <v>National unit rate x distance x sqrt(MTOW/50)</v>
      </c>
      <c r="K18" s="24" t="str">
        <f>IF(Collector!P19="","—",Collector!P19)</f>
        <v>CAA permit fee and en-route unit rate published only in national AIP GEN 4 / AIC — obtain current circular.</v>
      </c>
      <c r="L18" s="70">
        <f>$D$74</f>
        <v>50</v>
      </c>
      <c r="M18" s="70">
        <f>$D$75</f>
        <v>100</v>
      </c>
      <c r="N18" s="71">
        <f>$D$76</f>
        <v>40</v>
      </c>
      <c r="O18" s="72">
        <f t="shared" si="0"/>
        <v>80</v>
      </c>
      <c r="P18" s="72">
        <f t="shared" si="1"/>
        <v>130</v>
      </c>
    </row>
    <row r="19" spans="1:16" ht="25.2" customHeight="1" x14ac:dyDescent="0.3">
      <c r="A19" s="23" t="str">
        <f>Collector!A20</f>
        <v>Egypt</v>
      </c>
      <c r="B19" s="68">
        <v>20</v>
      </c>
      <c r="C19" s="68">
        <v>20</v>
      </c>
      <c r="D19" s="68">
        <v>0</v>
      </c>
      <c r="E19" s="68">
        <f>IF(Collector!E20="Yes",Collector!$D$64*$D$68,0)</f>
        <v>0</v>
      </c>
      <c r="F19" s="68">
        <f>IF(Collector!E20="Yes",Collector!$D$66*$D$68,0)</f>
        <v>0</v>
      </c>
      <c r="G19" s="68">
        <f>IF(Collector!F20="SADC VSAT",$D$61,0)</f>
        <v>0</v>
      </c>
      <c r="H19" s="68">
        <f>IF(Collector!F20="NAFISAT",$D$62,0)</f>
        <v>10</v>
      </c>
      <c r="I19" s="24" t="str">
        <f>IF(Collector!F20="AFISNET",$D$63,"n/a")</f>
        <v>n/a</v>
      </c>
      <c r="J19" s="24" t="str">
        <f>Collector!M20</f>
        <v>National unit rate x distance x sqrt(MTOW/50)</v>
      </c>
      <c r="K19" s="24" t="str">
        <f>IF(Collector!P20="","—",Collector!P20)</f>
        <v>CAA permit fee and en-route unit rate published only in national AIP GEN 4 / AIC — obtain current circular.</v>
      </c>
      <c r="L19" s="70">
        <f>$D$74</f>
        <v>50</v>
      </c>
      <c r="M19" s="70">
        <f>$D$75</f>
        <v>100</v>
      </c>
      <c r="N19" s="71">
        <f>$D$76</f>
        <v>40</v>
      </c>
      <c r="O19" s="72">
        <f t="shared" si="0"/>
        <v>80</v>
      </c>
      <c r="P19" s="72">
        <f t="shared" si="1"/>
        <v>130</v>
      </c>
    </row>
    <row r="20" spans="1:16" ht="25.2" customHeight="1" x14ac:dyDescent="0.3">
      <c r="A20" s="23" t="str">
        <f>Collector!A21</f>
        <v>Equatorial Guinea</v>
      </c>
      <c r="B20" s="68">
        <v>80</v>
      </c>
      <c r="C20" s="68">
        <v>100</v>
      </c>
      <c r="D20" s="69">
        <v>20</v>
      </c>
      <c r="E20" s="68">
        <f>IF(Collector!E21="Yes",Collector!$D$64*$D$68,0)</f>
        <v>122.29812</v>
      </c>
      <c r="F20" s="68">
        <f>IF(Collector!E21="Yes",Collector!$D$66*$D$68,0)</f>
        <v>244.60779499999998</v>
      </c>
      <c r="G20" s="68">
        <f>IF(Collector!F21="SADC VSAT",$D$61,0)</f>
        <v>0</v>
      </c>
      <c r="H20" s="68">
        <f>IF(Collector!F21="NAFISAT",$D$62,0)</f>
        <v>0</v>
      </c>
      <c r="I20" s="24" t="str">
        <f>IF(Collector!F21="AFISNET",$D$63,"n/a")</f>
        <v>Not published separately</v>
      </c>
      <c r="J20" s="24" t="str">
        <f>Collector!M21</f>
        <v>ASECNA: unit charge x coefficient — see calculator rows 61-91</v>
      </c>
      <c r="K20" s="24" t="str">
        <f>IF(Collector!P21="","—",Collector!P21)</f>
        <v>CAA overflight/landing permit fee is an administrative charge — not published in AIP; obtain from CAA or handler. En-route billed by ASECNA.</v>
      </c>
      <c r="L20" s="70">
        <f>$D$74</f>
        <v>50</v>
      </c>
      <c r="M20" s="70">
        <f>$D$75</f>
        <v>100</v>
      </c>
      <c r="N20" s="71">
        <f>$D$76</f>
        <v>40</v>
      </c>
      <c r="O20" s="72">
        <f t="shared" si="0"/>
        <v>496.90591499999994</v>
      </c>
      <c r="P20" s="72">
        <f t="shared" si="1"/>
        <v>566.90591499999994</v>
      </c>
    </row>
    <row r="21" spans="1:16" ht="25.2" customHeight="1" x14ac:dyDescent="0.3">
      <c r="A21" s="23" t="str">
        <f>Collector!A22</f>
        <v>Eritrea</v>
      </c>
      <c r="B21" s="68">
        <v>230</v>
      </c>
      <c r="C21" s="68">
        <v>230</v>
      </c>
      <c r="D21" s="69">
        <v>20</v>
      </c>
      <c r="E21" s="68">
        <f>IF(Collector!E22="Yes",Collector!$D$64*$D$68,0)</f>
        <v>0</v>
      </c>
      <c r="F21" s="68">
        <f>IF(Collector!E22="Yes",Collector!$D$66*$D$68,0)</f>
        <v>0</v>
      </c>
      <c r="G21" s="68">
        <f>IF(Collector!F22="SADC VSAT",$D$61,0)</f>
        <v>0</v>
      </c>
      <c r="H21" s="68">
        <f>IF(Collector!F22="NAFISAT",$D$62,0)</f>
        <v>0</v>
      </c>
      <c r="I21" s="24" t="str">
        <f>IF(Collector!F22="AFISNET",$D$63,"n/a")</f>
        <v>n/a</v>
      </c>
      <c r="J21" s="24" t="str">
        <f>Collector!M22</f>
        <v>National unit rate x distance x sqrt(MTOW/50)</v>
      </c>
      <c r="K21" s="24" t="str">
        <f>IF(Collector!P22="","—",Collector!P22)</f>
        <v>CAA permit fee and en-route unit rate published only in national AIP GEN 4 / AIC — obtain current circular.</v>
      </c>
      <c r="L21" s="70">
        <f>$D$74</f>
        <v>50</v>
      </c>
      <c r="M21" s="70">
        <f>$D$75</f>
        <v>100</v>
      </c>
      <c r="N21" s="71">
        <f>$D$76</f>
        <v>40</v>
      </c>
      <c r="O21" s="72">
        <f t="shared" si="0"/>
        <v>280</v>
      </c>
      <c r="P21" s="72">
        <f t="shared" si="1"/>
        <v>330</v>
      </c>
    </row>
    <row r="22" spans="1:16" ht="25.2" customHeight="1" x14ac:dyDescent="0.3">
      <c r="A22" s="23" t="str">
        <f>Collector!A23</f>
        <v>Eswatini</v>
      </c>
      <c r="B22" s="68">
        <v>0</v>
      </c>
      <c r="C22" s="68">
        <v>0</v>
      </c>
      <c r="D22" s="69">
        <v>20</v>
      </c>
      <c r="E22" s="68">
        <f>IF(Collector!E23="Yes",Collector!$D$64*$D$68,0)</f>
        <v>0</v>
      </c>
      <c r="F22" s="68">
        <f>IF(Collector!E23="Yes",Collector!$D$66*$D$68,0)</f>
        <v>0</v>
      </c>
      <c r="G22" s="68">
        <f>IF(Collector!F23="SADC VSAT",$D$61,0)</f>
        <v>9.6</v>
      </c>
      <c r="H22" s="68">
        <f>IF(Collector!F23="NAFISAT",$D$62,0)</f>
        <v>0</v>
      </c>
      <c r="I22" s="24" t="str">
        <f>IF(Collector!F23="AFISNET",$D$63,"n/a")</f>
        <v>n/a</v>
      </c>
      <c r="J22" s="24" t="str">
        <f>Collector!M23</f>
        <v>National unit rate x distance x sqrt(MTOW/50)</v>
      </c>
      <c r="K22" s="24" t="str">
        <f>IF(Collector!P23="","—",Collector!P23)</f>
        <v>CAA permit fee and en-route unit rate published only in national AIP GEN 4 / AIC — obtain current circular.</v>
      </c>
      <c r="L22" s="70">
        <f>$D$74</f>
        <v>50</v>
      </c>
      <c r="M22" s="70">
        <f>$D$75</f>
        <v>100</v>
      </c>
      <c r="N22" s="71">
        <f>$D$76</f>
        <v>40</v>
      </c>
      <c r="O22" s="72">
        <f t="shared" si="0"/>
        <v>59.6</v>
      </c>
      <c r="P22" s="72">
        <f t="shared" si="1"/>
        <v>109.6</v>
      </c>
    </row>
    <row r="23" spans="1:16" ht="25.2" customHeight="1" x14ac:dyDescent="0.3">
      <c r="A23" s="23" t="str">
        <f>Collector!A24</f>
        <v>Ethiopia</v>
      </c>
      <c r="B23" s="68">
        <v>40</v>
      </c>
      <c r="C23" s="68">
        <v>40</v>
      </c>
      <c r="D23" s="69">
        <v>20</v>
      </c>
      <c r="E23" s="68">
        <f>IF(Collector!E24="Yes",Collector!$D$64*$D$68,0)</f>
        <v>0</v>
      </c>
      <c r="F23" s="68">
        <f>IF(Collector!E24="Yes",Collector!$D$66*$D$68,0)</f>
        <v>0</v>
      </c>
      <c r="G23" s="68">
        <f>IF(Collector!F24="SADC VSAT",$D$61,0)</f>
        <v>0</v>
      </c>
      <c r="H23" s="68">
        <f>IF(Collector!F24="NAFISAT",$D$62,0)</f>
        <v>10</v>
      </c>
      <c r="I23" s="24" t="str">
        <f>IF(Collector!F24="AFISNET",$D$63,"n/a")</f>
        <v>n/a</v>
      </c>
      <c r="J23" s="24" t="str">
        <f>Collector!M24</f>
        <v>National unit rate x distance x sqrt(MTOW/50)</v>
      </c>
      <c r="K23" s="24" t="str">
        <f>IF(Collector!P24="","—",Collector!P24)</f>
        <v>CAA permit fee and en-route unit rate published only in national AIP GEN 4 / AIC — obtain current circular.</v>
      </c>
      <c r="L23" s="70">
        <f>$D$74</f>
        <v>50</v>
      </c>
      <c r="M23" s="70">
        <f>$D$75</f>
        <v>100</v>
      </c>
      <c r="N23" s="71">
        <f>$D$76</f>
        <v>40</v>
      </c>
      <c r="O23" s="72">
        <f t="shared" si="0"/>
        <v>100</v>
      </c>
      <c r="P23" s="72">
        <f t="shared" si="1"/>
        <v>150</v>
      </c>
    </row>
    <row r="24" spans="1:16" ht="25.2" customHeight="1" x14ac:dyDescent="0.3">
      <c r="A24" s="23" t="str">
        <f>Collector!A25</f>
        <v>Gabon</v>
      </c>
      <c r="B24" s="68">
        <v>275</v>
      </c>
      <c r="C24" s="68">
        <v>275</v>
      </c>
      <c r="D24" s="69">
        <v>20</v>
      </c>
      <c r="E24" s="68">
        <f>IF(Collector!E25="Yes",Collector!$D$64*$D$68,0)</f>
        <v>122.29812</v>
      </c>
      <c r="F24" s="68">
        <f>IF(Collector!E25="Yes",Collector!$D$66*$D$68,0)</f>
        <v>244.60779499999998</v>
      </c>
      <c r="G24" s="68">
        <f>IF(Collector!F25="SADC VSAT",$D$61,0)</f>
        <v>0</v>
      </c>
      <c r="H24" s="68">
        <f>IF(Collector!F25="NAFISAT",$D$62,0)</f>
        <v>0</v>
      </c>
      <c r="I24" s="24" t="str">
        <f>IF(Collector!F25="AFISNET",$D$63,"n/a")</f>
        <v>Not published separately</v>
      </c>
      <c r="J24" s="24" t="str">
        <f>Collector!M25</f>
        <v>ASECNA: unit charge x coefficient — see calculator rows 61-91</v>
      </c>
      <c r="K24" s="24" t="str">
        <f>IF(Collector!P25="","—",Collector!P25)</f>
        <v>CAA overflight/landing permit fee is an administrative charge — not published in AIP; obtain from CAA or handler. En-route billed by ASECNA.</v>
      </c>
      <c r="L24" s="70">
        <f>$D$74</f>
        <v>50</v>
      </c>
      <c r="M24" s="70">
        <f>$D$75</f>
        <v>100</v>
      </c>
      <c r="N24" s="71">
        <f>$D$76</f>
        <v>40</v>
      </c>
      <c r="O24" s="72">
        <f t="shared" si="0"/>
        <v>691.90591499999994</v>
      </c>
      <c r="P24" s="72">
        <f t="shared" si="1"/>
        <v>741.90591499999994</v>
      </c>
    </row>
    <row r="25" spans="1:16" ht="25.2" customHeight="1" x14ac:dyDescent="0.3">
      <c r="A25" s="23" t="str">
        <f>Collector!A26</f>
        <v>Gambia</v>
      </c>
      <c r="B25" s="68">
        <v>0</v>
      </c>
      <c r="C25" s="68">
        <v>0</v>
      </c>
      <c r="D25" s="69">
        <v>20</v>
      </c>
      <c r="E25" s="68">
        <f>IF(Collector!E26="Yes",Collector!$D$64*$D$68,0)</f>
        <v>0</v>
      </c>
      <c r="F25" s="68">
        <f>IF(Collector!E26="Yes",Collector!$D$66*$D$68,0)</f>
        <v>0</v>
      </c>
      <c r="G25" s="68">
        <f>IF(Collector!F26="SADC VSAT",$D$61,0)</f>
        <v>0</v>
      </c>
      <c r="H25" s="68">
        <f>IF(Collector!F26="NAFISAT",$D$62,0)</f>
        <v>0</v>
      </c>
      <c r="I25" s="24" t="str">
        <f>IF(Collector!F26="AFISNET",$D$63,"n/a")</f>
        <v>Not published separately</v>
      </c>
      <c r="J25" s="24" t="str">
        <f>Collector!M26</f>
        <v>National unit rate x distance x sqrt(MTOW/50)</v>
      </c>
      <c r="K25" s="24" t="str">
        <f>IF(Collector!P26="","—",Collector!P26)</f>
        <v>CAA permit fee and en-route unit rate published only in national AIP GEN 4 / AIC — obtain current circular.</v>
      </c>
      <c r="L25" s="70">
        <f>$D$74</f>
        <v>50</v>
      </c>
      <c r="M25" s="70">
        <f>$D$75</f>
        <v>100</v>
      </c>
      <c r="N25" s="71">
        <f>$D$76</f>
        <v>40</v>
      </c>
      <c r="O25" s="72">
        <f t="shared" si="0"/>
        <v>50</v>
      </c>
      <c r="P25" s="72">
        <f t="shared" si="1"/>
        <v>100</v>
      </c>
    </row>
    <row r="26" spans="1:16" ht="25.2" customHeight="1" x14ac:dyDescent="0.3">
      <c r="A26" s="23" t="str">
        <f>Collector!A27</f>
        <v>Ghana</v>
      </c>
      <c r="B26" s="68">
        <v>150</v>
      </c>
      <c r="C26" s="68">
        <v>150</v>
      </c>
      <c r="D26" s="69">
        <v>20</v>
      </c>
      <c r="E26" s="68">
        <f>IF(Collector!E27="Yes",Collector!$D$64*$D$68,0)</f>
        <v>0</v>
      </c>
      <c r="F26" s="68">
        <f>IF(Collector!E27="Yes",Collector!$D$66*$D$68,0)</f>
        <v>0</v>
      </c>
      <c r="G26" s="68">
        <f>IF(Collector!F27="SADC VSAT",$D$61,0)</f>
        <v>0</v>
      </c>
      <c r="H26" s="68">
        <f>IF(Collector!F27="NAFISAT",$D$62,0)</f>
        <v>0</v>
      </c>
      <c r="I26" s="24" t="str">
        <f>IF(Collector!F27="AFISNET",$D$63,"n/a")</f>
        <v>Not published separately</v>
      </c>
      <c r="J26" s="24" t="str">
        <f>Collector!M27</f>
        <v>National unit rate x distance x sqrt(MTOW/50)</v>
      </c>
      <c r="K26" s="24" t="str">
        <f>IF(Collector!P27="","—",Collector!P27)</f>
        <v>CAA permit fee and en-route unit rate published only in national AIP GEN 4 / AIC — obtain current circular.</v>
      </c>
      <c r="L26" s="70">
        <f>$D$74</f>
        <v>50</v>
      </c>
      <c r="M26" s="70">
        <f>$D$75</f>
        <v>100</v>
      </c>
      <c r="N26" s="71">
        <f>$D$76</f>
        <v>40</v>
      </c>
      <c r="O26" s="72">
        <f t="shared" si="0"/>
        <v>200</v>
      </c>
      <c r="P26" s="72">
        <f t="shared" si="1"/>
        <v>250</v>
      </c>
    </row>
    <row r="27" spans="1:16" ht="25.2" customHeight="1" x14ac:dyDescent="0.3">
      <c r="A27" s="23" t="str">
        <f>Collector!A28</f>
        <v>Guinea</v>
      </c>
      <c r="B27" s="68">
        <v>0</v>
      </c>
      <c r="C27" s="68">
        <v>0</v>
      </c>
      <c r="D27" s="69">
        <v>20</v>
      </c>
      <c r="E27" s="68">
        <f>IF(Collector!E28="Yes",Collector!$D$64*$D$68,0)</f>
        <v>0</v>
      </c>
      <c r="F27" s="68">
        <f>IF(Collector!E28="Yes",Collector!$D$66*$D$68,0)</f>
        <v>0</v>
      </c>
      <c r="G27" s="68">
        <f>IF(Collector!F28="SADC VSAT",$D$61,0)</f>
        <v>0</v>
      </c>
      <c r="H27" s="68">
        <f>IF(Collector!F28="NAFISAT",$D$62,0)</f>
        <v>0</v>
      </c>
      <c r="I27" s="24" t="str">
        <f>IF(Collector!F28="AFISNET",$D$63,"n/a")</f>
        <v>Not published separately</v>
      </c>
      <c r="J27" s="24" t="str">
        <f>Collector!M28</f>
        <v>National unit rate x distance x sqrt(MTOW/50)</v>
      </c>
      <c r="K27" s="24" t="str">
        <f>IF(Collector!P28="","—",Collector!P28)</f>
        <v>CAA permit fee and en-route unit rate published only in national AIP GEN 4 / AIC — obtain current circular.</v>
      </c>
      <c r="L27" s="70">
        <f>$D$74</f>
        <v>50</v>
      </c>
      <c r="M27" s="70">
        <f>$D$75</f>
        <v>100</v>
      </c>
      <c r="N27" s="71">
        <f>$D$76</f>
        <v>40</v>
      </c>
      <c r="O27" s="72">
        <f t="shared" si="0"/>
        <v>50</v>
      </c>
      <c r="P27" s="72">
        <f t="shared" si="1"/>
        <v>100</v>
      </c>
    </row>
    <row r="28" spans="1:16" ht="25.2" customHeight="1" x14ac:dyDescent="0.3">
      <c r="A28" s="23" t="str">
        <f>Collector!A29</f>
        <v>Guinea-Bissau</v>
      </c>
      <c r="B28" s="68">
        <v>0</v>
      </c>
      <c r="C28" s="68">
        <v>0</v>
      </c>
      <c r="D28" s="69">
        <v>20</v>
      </c>
      <c r="E28" s="68">
        <f>IF(Collector!E29="Yes",Collector!$D$64*$D$68,0)</f>
        <v>122.29812</v>
      </c>
      <c r="F28" s="68">
        <f>IF(Collector!E29="Yes",Collector!$D$66*$D$68,0)</f>
        <v>244.60779499999998</v>
      </c>
      <c r="G28" s="68">
        <f>IF(Collector!F29="SADC VSAT",$D$61,0)</f>
        <v>0</v>
      </c>
      <c r="H28" s="68">
        <f>IF(Collector!F29="NAFISAT",$D$62,0)</f>
        <v>0</v>
      </c>
      <c r="I28" s="24" t="str">
        <f>IF(Collector!F29="AFISNET",$D$63,"n/a")</f>
        <v>Not published separately</v>
      </c>
      <c r="J28" s="24" t="str">
        <f>Collector!M29</f>
        <v>ASECNA: unit charge x coefficient — see calculator rows 61-91</v>
      </c>
      <c r="K28" s="24" t="str">
        <f>IF(Collector!P29="","—",Collector!P29)</f>
        <v>CAA overflight/landing permit fee is an administrative charge — not published in AIP; obtain from CAA or handler. En-route billed by ASECNA.</v>
      </c>
      <c r="L28" s="70">
        <f>$D$74</f>
        <v>50</v>
      </c>
      <c r="M28" s="70">
        <f>$D$75</f>
        <v>100</v>
      </c>
      <c r="N28" s="71">
        <f>$D$76</f>
        <v>40</v>
      </c>
      <c r="O28" s="72">
        <f t="shared" si="0"/>
        <v>416.90591499999999</v>
      </c>
      <c r="P28" s="72">
        <f t="shared" si="1"/>
        <v>466.90591499999999</v>
      </c>
    </row>
    <row r="29" spans="1:16" ht="25.2" customHeight="1" x14ac:dyDescent="0.3">
      <c r="A29" s="23" t="str">
        <f>Collector!A30</f>
        <v>Kenya</v>
      </c>
      <c r="B29" s="68">
        <v>50</v>
      </c>
      <c r="C29" s="68">
        <v>50</v>
      </c>
      <c r="D29" s="69">
        <v>20</v>
      </c>
      <c r="E29" s="68">
        <f>IF(Collector!E30="Yes",Collector!$D$64*$D$68,0)</f>
        <v>0</v>
      </c>
      <c r="F29" s="68">
        <f>IF(Collector!E30="Yes",Collector!$D$66*$D$68,0)</f>
        <v>0</v>
      </c>
      <c r="G29" s="68">
        <f>IF(Collector!F30="SADC VSAT",$D$61,0)</f>
        <v>0</v>
      </c>
      <c r="H29" s="68">
        <f>IF(Collector!F30="NAFISAT",$D$62,0)</f>
        <v>0</v>
      </c>
      <c r="I29" s="24" t="str">
        <f>IF(Collector!F30="AFISNET",$D$63,"n/a")</f>
        <v>n/a</v>
      </c>
      <c r="J29" s="24" t="str">
        <f>Collector!M30</f>
        <v>National unit rate x distance x sqrt(MTOW/50)</v>
      </c>
      <c r="K29" s="24" t="str">
        <f>IF(Collector!P30="","—",Collector!P30)</f>
        <v>CAA permit fee and en-route unit rate published only in national AIP GEN 4 / AIC — obtain current circular.</v>
      </c>
      <c r="L29" s="70">
        <f>$D$74</f>
        <v>50</v>
      </c>
      <c r="M29" s="70">
        <f>$D$75</f>
        <v>100</v>
      </c>
      <c r="N29" s="71">
        <f>$D$76</f>
        <v>40</v>
      </c>
      <c r="O29" s="72">
        <f t="shared" si="0"/>
        <v>100</v>
      </c>
      <c r="P29" s="72">
        <f t="shared" si="1"/>
        <v>150</v>
      </c>
    </row>
    <row r="30" spans="1:16" ht="25.2" customHeight="1" x14ac:dyDescent="0.3">
      <c r="A30" s="23" t="str">
        <f>Collector!A31</f>
        <v>Lesotho</v>
      </c>
      <c r="B30" s="68">
        <v>0</v>
      </c>
      <c r="C30" s="68">
        <v>0</v>
      </c>
      <c r="D30" s="69">
        <v>20</v>
      </c>
      <c r="E30" s="68">
        <f>IF(Collector!E31="Yes",Collector!$D$64*$D$68,0)</f>
        <v>0</v>
      </c>
      <c r="F30" s="68">
        <f>IF(Collector!E31="Yes",Collector!$D$66*$D$68,0)</f>
        <v>0</v>
      </c>
      <c r="G30" s="68">
        <f>IF(Collector!F31="SADC VSAT",$D$61,0)</f>
        <v>9.6</v>
      </c>
      <c r="H30" s="68">
        <f>IF(Collector!F31="NAFISAT",$D$62,0)</f>
        <v>0</v>
      </c>
      <c r="I30" s="24" t="str">
        <f>IF(Collector!F31="AFISNET",$D$63,"n/a")</f>
        <v>n/a</v>
      </c>
      <c r="J30" s="24" t="str">
        <f>Collector!M31</f>
        <v>National unit rate x distance x sqrt(MTOW/50)</v>
      </c>
      <c r="K30" s="24" t="str">
        <f>IF(Collector!P31="","—",Collector!P31)</f>
        <v>CAA permit fee and en-route unit rate published only in national AIP GEN 4 / AIC — obtain current circular.</v>
      </c>
      <c r="L30" s="70">
        <f>$D$74</f>
        <v>50</v>
      </c>
      <c r="M30" s="70">
        <f>$D$75</f>
        <v>100</v>
      </c>
      <c r="N30" s="71">
        <f>$D$76</f>
        <v>40</v>
      </c>
      <c r="O30" s="72">
        <f t="shared" si="0"/>
        <v>59.6</v>
      </c>
      <c r="P30" s="72">
        <f t="shared" si="1"/>
        <v>109.6</v>
      </c>
    </row>
    <row r="31" spans="1:16" ht="25.2" customHeight="1" x14ac:dyDescent="0.3">
      <c r="A31" s="23" t="str">
        <f>Collector!A32</f>
        <v>Liberia</v>
      </c>
      <c r="B31" s="68">
        <v>0</v>
      </c>
      <c r="C31" s="68">
        <v>0</v>
      </c>
      <c r="D31" s="69">
        <v>20</v>
      </c>
      <c r="E31" s="68">
        <f>IF(Collector!E32="Yes",Collector!$D$64*$D$68,0)</f>
        <v>0</v>
      </c>
      <c r="F31" s="68">
        <f>IF(Collector!E32="Yes",Collector!$D$66*$D$68,0)</f>
        <v>0</v>
      </c>
      <c r="G31" s="68">
        <f>IF(Collector!F32="SADC VSAT",$D$61,0)</f>
        <v>0</v>
      </c>
      <c r="H31" s="68">
        <f>IF(Collector!F32="NAFISAT",$D$62,0)</f>
        <v>0</v>
      </c>
      <c r="I31" s="24" t="str">
        <f>IF(Collector!F32="AFISNET",$D$63,"n/a")</f>
        <v>Not published separately</v>
      </c>
      <c r="J31" s="24" t="str">
        <f>Collector!M32</f>
        <v>National unit rate x distance x sqrt(MTOW/50)</v>
      </c>
      <c r="K31" s="24" t="str">
        <f>IF(Collector!P32="","—",Collector!P32)</f>
        <v>CAA permit fee and en-route unit rate published only in national AIP GEN 4 / AIC — obtain current circular.</v>
      </c>
      <c r="L31" s="70">
        <f>$D$74</f>
        <v>50</v>
      </c>
      <c r="M31" s="70">
        <f>$D$75</f>
        <v>100</v>
      </c>
      <c r="N31" s="71">
        <f>$D$76</f>
        <v>40</v>
      </c>
      <c r="O31" s="72">
        <f t="shared" si="0"/>
        <v>50</v>
      </c>
      <c r="P31" s="72">
        <f t="shared" si="1"/>
        <v>100</v>
      </c>
    </row>
    <row r="32" spans="1:16" ht="25.2" customHeight="1" x14ac:dyDescent="0.3">
      <c r="A32" s="25" t="str">
        <f>Collector!A33</f>
        <v>Libya</v>
      </c>
      <c r="B32" s="73">
        <v>11</v>
      </c>
      <c r="C32" s="73">
        <v>0</v>
      </c>
      <c r="D32" s="74">
        <v>20</v>
      </c>
      <c r="E32" s="73">
        <f>IF(Collector!E33="Yes",Collector!$D$64*$D$68,0)</f>
        <v>0</v>
      </c>
      <c r="F32" s="73">
        <f>IF(Collector!E33="Yes",Collector!$D$66*$D$68,0)</f>
        <v>0</v>
      </c>
      <c r="G32" s="73">
        <f>IF(Collector!F33="SADC VSAT",$D$61,0)</f>
        <v>0</v>
      </c>
      <c r="H32" s="73">
        <f>IF(Collector!F33="NAFISAT",$D$62,0)</f>
        <v>10</v>
      </c>
      <c r="I32" s="26" t="str">
        <f>IF(Collector!F33="AFISNET",$D$63,"n/a")</f>
        <v>n/a</v>
      </c>
      <c r="J32" s="26" t="str">
        <f>Collector!M33</f>
        <v>National unit rate x distance x sqrt(MTOW/50)</v>
      </c>
      <c r="K32" s="26" t="str">
        <f>IF(Collector!P33="","—",Collector!P33)</f>
        <v>CAA permit fee and en-route unit rate published only in national AIP GEN 4 / AIC — obtain current circular.</v>
      </c>
      <c r="L32" s="75">
        <f>$D$74</f>
        <v>50</v>
      </c>
      <c r="M32" s="75">
        <f>$D$75</f>
        <v>100</v>
      </c>
      <c r="N32" s="76">
        <f>$D$76</f>
        <v>40</v>
      </c>
      <c r="O32" s="72">
        <f t="shared" si="0"/>
        <v>71</v>
      </c>
      <c r="P32" s="72">
        <f t="shared" si="1"/>
        <v>110</v>
      </c>
    </row>
    <row r="33" spans="1:16" ht="25.2" customHeight="1" x14ac:dyDescent="0.3">
      <c r="A33" s="23" t="str">
        <f>Collector!A34</f>
        <v>Madagascar</v>
      </c>
      <c r="B33" s="68">
        <v>0</v>
      </c>
      <c r="C33" s="68">
        <v>0</v>
      </c>
      <c r="D33" s="69">
        <v>20</v>
      </c>
      <c r="E33" s="68">
        <f>IF(Collector!E34="Yes",Collector!$D$64*$D$68,0)</f>
        <v>122.29812</v>
      </c>
      <c r="F33" s="68">
        <f>IF(Collector!E34="Yes",Collector!$D$66*$D$68,0)</f>
        <v>244.60779499999998</v>
      </c>
      <c r="G33" s="68">
        <f>IF(Collector!F34="SADC VSAT",$D$61,0)</f>
        <v>0</v>
      </c>
      <c r="H33" s="68">
        <f>IF(Collector!F34="NAFISAT",$D$62,0)</f>
        <v>0</v>
      </c>
      <c r="I33" s="24" t="str">
        <f>IF(Collector!F34="AFISNET",$D$63,"n/a")</f>
        <v>n/a</v>
      </c>
      <c r="J33" s="24" t="str">
        <f>Collector!M34</f>
        <v>ASECNA: unit charge x coefficient — see calculator rows 61-91</v>
      </c>
      <c r="K33" s="24" t="str">
        <f>IF(Collector!P34="","—",Collector!P34)</f>
        <v>CAA overflight/landing permit fee is an administrative charge — not published in AIP; obtain from CAA or handler. En-route billed by ASECNA.</v>
      </c>
      <c r="L33" s="70">
        <f>$D$74</f>
        <v>50</v>
      </c>
      <c r="M33" s="70">
        <f>$D$75</f>
        <v>100</v>
      </c>
      <c r="N33" s="71">
        <f>$D$76</f>
        <v>40</v>
      </c>
      <c r="O33" s="72">
        <f t="shared" si="0"/>
        <v>416.90591499999999</v>
      </c>
      <c r="P33" s="72">
        <f t="shared" si="1"/>
        <v>466.90591499999999</v>
      </c>
    </row>
    <row r="34" spans="1:16" ht="25.2" customHeight="1" x14ac:dyDescent="0.3">
      <c r="A34" s="23" t="str">
        <f>Collector!A35</f>
        <v>Malawi</v>
      </c>
      <c r="B34" s="68">
        <v>0</v>
      </c>
      <c r="C34" s="68">
        <v>0</v>
      </c>
      <c r="D34" s="69">
        <v>20</v>
      </c>
      <c r="E34" s="68">
        <f>IF(Collector!E35="Yes",Collector!$D$64*$D$68,0)</f>
        <v>0</v>
      </c>
      <c r="F34" s="68">
        <f>IF(Collector!E35="Yes",Collector!$D$66*$D$68,0)</f>
        <v>0</v>
      </c>
      <c r="G34" s="68">
        <f>IF(Collector!F35="SADC VSAT",$D$61,0)</f>
        <v>9.6</v>
      </c>
      <c r="H34" s="68">
        <f>IF(Collector!F35="NAFISAT",$D$62,0)</f>
        <v>0</v>
      </c>
      <c r="I34" s="24" t="str">
        <f>IF(Collector!F35="AFISNET",$D$63,"n/a")</f>
        <v>n/a</v>
      </c>
      <c r="J34" s="24" t="str">
        <f>Collector!M35</f>
        <v>National unit rate x distance x sqrt(MTOW/50)</v>
      </c>
      <c r="K34" s="24" t="str">
        <f>IF(Collector!P35="","—",Collector!P35)</f>
        <v>CAA permit fee and en-route unit rate published only in national AIP GEN 4 / AIC — obtain current circular.</v>
      </c>
      <c r="L34" s="70">
        <f>$D$74</f>
        <v>50</v>
      </c>
      <c r="M34" s="70">
        <f>$D$75</f>
        <v>100</v>
      </c>
      <c r="N34" s="71">
        <f>$D$76</f>
        <v>40</v>
      </c>
      <c r="O34" s="72">
        <f t="shared" si="0"/>
        <v>59.6</v>
      </c>
      <c r="P34" s="72">
        <f t="shared" si="1"/>
        <v>109.6</v>
      </c>
    </row>
    <row r="35" spans="1:16" ht="25.2" customHeight="1" x14ac:dyDescent="0.3">
      <c r="A35" s="23" t="str">
        <f>Collector!A36</f>
        <v>Mali</v>
      </c>
      <c r="B35" s="68">
        <v>0</v>
      </c>
      <c r="C35" s="68">
        <v>0</v>
      </c>
      <c r="D35" s="69">
        <v>20</v>
      </c>
      <c r="E35" s="68">
        <f>IF(Collector!E36="Yes",Collector!$D$64*$D$68,0)</f>
        <v>122.29812</v>
      </c>
      <c r="F35" s="68">
        <f>IF(Collector!E36="Yes",Collector!$D$66*$D$68,0)</f>
        <v>244.60779499999998</v>
      </c>
      <c r="G35" s="68">
        <f>IF(Collector!F36="SADC VSAT",$D$61,0)</f>
        <v>0</v>
      </c>
      <c r="H35" s="68">
        <f>IF(Collector!F36="NAFISAT",$D$62,0)</f>
        <v>10</v>
      </c>
      <c r="I35" s="24" t="str">
        <f>IF(Collector!F36="AFISNET",$D$63,"n/a")</f>
        <v>n/a</v>
      </c>
      <c r="J35" s="24" t="str">
        <f>Collector!M36</f>
        <v>ASECNA: unit charge x coefficient — see calculator rows 61-91</v>
      </c>
      <c r="K35" s="24" t="str">
        <f>IF(Collector!P36="","—",Collector!P36)</f>
        <v>CAA overflight/landing permit fee is an administrative charge — not published in AIP; obtain from CAA or handler. En-route billed by ASECNA.</v>
      </c>
      <c r="L35" s="70">
        <f>$D$74</f>
        <v>50</v>
      </c>
      <c r="M35" s="70">
        <f>$D$75</f>
        <v>100</v>
      </c>
      <c r="N35" s="71">
        <f>$D$76</f>
        <v>40</v>
      </c>
      <c r="O35" s="72">
        <f t="shared" si="0"/>
        <v>426.90591499999999</v>
      </c>
      <c r="P35" s="72">
        <f t="shared" si="1"/>
        <v>476.90591499999999</v>
      </c>
    </row>
    <row r="36" spans="1:16" ht="25.2" customHeight="1" x14ac:dyDescent="0.3">
      <c r="A36" s="23" t="str">
        <f>Collector!A37</f>
        <v>Mauritania</v>
      </c>
      <c r="B36" s="68">
        <v>0</v>
      </c>
      <c r="C36" s="68">
        <v>0</v>
      </c>
      <c r="D36" s="69">
        <v>20</v>
      </c>
      <c r="E36" s="68">
        <f>IF(Collector!E37="Yes",Collector!$D$64*$D$68,0)</f>
        <v>122.29812</v>
      </c>
      <c r="F36" s="68">
        <f>IF(Collector!E37="Yes",Collector!$D$66*$D$68,0)</f>
        <v>244.60779499999998</v>
      </c>
      <c r="G36" s="68">
        <f>IF(Collector!F37="SADC VSAT",$D$61,0)</f>
        <v>0</v>
      </c>
      <c r="H36" s="68">
        <f>IF(Collector!F37="NAFISAT",$D$62,0)</f>
        <v>10</v>
      </c>
      <c r="I36" s="24" t="str">
        <f>IF(Collector!F37="AFISNET",$D$63,"n/a")</f>
        <v>n/a</v>
      </c>
      <c r="J36" s="24" t="str">
        <f>Collector!M37</f>
        <v>ASECNA: unit charge x coefficient — see calculator rows 61-91</v>
      </c>
      <c r="K36" s="24" t="str">
        <f>IF(Collector!P37="","—",Collector!P37)</f>
        <v>CAA overflight/landing permit fee is an administrative charge — not published in AIP; obtain from CAA or handler. En-route billed by ASECNA.</v>
      </c>
      <c r="L36" s="70">
        <f>$D$74</f>
        <v>50</v>
      </c>
      <c r="M36" s="70">
        <f>$D$75</f>
        <v>100</v>
      </c>
      <c r="N36" s="71">
        <f>$D$76</f>
        <v>40</v>
      </c>
      <c r="O36" s="72">
        <f t="shared" si="0"/>
        <v>426.90591499999999</v>
      </c>
      <c r="P36" s="72">
        <f t="shared" si="1"/>
        <v>476.90591499999999</v>
      </c>
    </row>
    <row r="37" spans="1:16" ht="25.2" customHeight="1" x14ac:dyDescent="0.3">
      <c r="A37" s="23" t="str">
        <f>Collector!A38</f>
        <v>Mauritius</v>
      </c>
      <c r="B37" s="68">
        <v>0</v>
      </c>
      <c r="C37" s="68">
        <v>0</v>
      </c>
      <c r="D37" s="69">
        <v>20</v>
      </c>
      <c r="E37" s="68">
        <f>IF(Collector!E38="Yes",Collector!$D$64*$D$68,0)</f>
        <v>0</v>
      </c>
      <c r="F37" s="68">
        <f>IF(Collector!E38="Yes",Collector!$D$66*$D$68,0)</f>
        <v>0</v>
      </c>
      <c r="G37" s="68">
        <f>IF(Collector!F38="SADC VSAT",$D$61,0)</f>
        <v>0</v>
      </c>
      <c r="H37" s="68">
        <f>IF(Collector!F38="NAFISAT",$D$62,0)</f>
        <v>0</v>
      </c>
      <c r="I37" s="24" t="str">
        <f>IF(Collector!F38="AFISNET",$D$63,"n/a")</f>
        <v>n/a</v>
      </c>
      <c r="J37" s="24" t="str">
        <f>Collector!M38</f>
        <v>National unit rate x distance x sqrt(MTOW/50)</v>
      </c>
      <c r="K37" s="24" t="str">
        <f>IF(Collector!P38="","—",Collector!P38)</f>
        <v>CAA permit fee and en-route unit rate published only in national AIP GEN 4 / AIC — obtain current circular.</v>
      </c>
      <c r="L37" s="70">
        <f>$D$74</f>
        <v>50</v>
      </c>
      <c r="M37" s="70">
        <f>$D$75</f>
        <v>100</v>
      </c>
      <c r="N37" s="71">
        <f>$D$76</f>
        <v>40</v>
      </c>
      <c r="O37" s="72">
        <f t="shared" si="0"/>
        <v>50</v>
      </c>
      <c r="P37" s="72">
        <f t="shared" si="1"/>
        <v>100</v>
      </c>
    </row>
    <row r="38" spans="1:16" ht="25.2" customHeight="1" x14ac:dyDescent="0.3">
      <c r="A38" s="23" t="str">
        <f>Collector!A39</f>
        <v>Morocco</v>
      </c>
      <c r="B38" s="68">
        <v>0</v>
      </c>
      <c r="C38" s="68">
        <v>0</v>
      </c>
      <c r="D38" s="69">
        <v>20</v>
      </c>
      <c r="E38" s="68">
        <f>IF(Collector!E39="Yes",Collector!$D$64*$D$68,0)</f>
        <v>0</v>
      </c>
      <c r="F38" s="68">
        <f>IF(Collector!E39="Yes",Collector!$D$66*$D$68,0)</f>
        <v>0</v>
      </c>
      <c r="G38" s="68">
        <f>IF(Collector!F39="SADC VSAT",$D$61,0)</f>
        <v>0</v>
      </c>
      <c r="H38" s="68">
        <f>IF(Collector!F39="NAFISAT",$D$62,0)</f>
        <v>10</v>
      </c>
      <c r="I38" s="24" t="str">
        <f>IF(Collector!F39="AFISNET",$D$63,"n/a")</f>
        <v>n/a</v>
      </c>
      <c r="J38" s="24" t="str">
        <f>Collector!M39</f>
        <v>National unit rate x distance x sqrt(MTOW/50)</v>
      </c>
      <c r="K38" s="24" t="str">
        <f>IF(Collector!P39="","—",Collector!P39)</f>
        <v>CAA permit fee and en-route unit rate published only in national AIP GEN 4 / AIC — obtain current circular.</v>
      </c>
      <c r="L38" s="70">
        <f>$D$74</f>
        <v>50</v>
      </c>
      <c r="M38" s="70">
        <f>$D$75</f>
        <v>100</v>
      </c>
      <c r="N38" s="71">
        <f>$D$76</f>
        <v>40</v>
      </c>
      <c r="O38" s="72">
        <f t="shared" si="0"/>
        <v>60</v>
      </c>
      <c r="P38" s="72">
        <f t="shared" si="1"/>
        <v>110</v>
      </c>
    </row>
    <row r="39" spans="1:16" ht="25.2" customHeight="1" x14ac:dyDescent="0.3">
      <c r="A39" s="23" t="str">
        <f>Collector!A40</f>
        <v>Mozambique</v>
      </c>
      <c r="B39" s="68">
        <v>0</v>
      </c>
      <c r="C39" s="68">
        <v>0</v>
      </c>
      <c r="D39" s="69">
        <v>20</v>
      </c>
      <c r="E39" s="68">
        <f>IF(Collector!E40="Yes",Collector!$D$64*$D$68,0)</f>
        <v>0</v>
      </c>
      <c r="F39" s="68">
        <f>IF(Collector!E40="Yes",Collector!$D$66*$D$68,0)</f>
        <v>0</v>
      </c>
      <c r="G39" s="68">
        <f>IF(Collector!F40="SADC VSAT",$D$61,0)</f>
        <v>9.6</v>
      </c>
      <c r="H39" s="68">
        <f>IF(Collector!F40="NAFISAT",$D$62,0)</f>
        <v>0</v>
      </c>
      <c r="I39" s="24" t="str">
        <f>IF(Collector!F40="AFISNET",$D$63,"n/a")</f>
        <v>n/a</v>
      </c>
      <c r="J39" s="24" t="str">
        <f>Collector!M40</f>
        <v>National unit rate x distance x sqrt(MTOW/50)</v>
      </c>
      <c r="K39" s="24" t="str">
        <f>IF(Collector!P40="","—",Collector!P40)</f>
        <v>CAA permit fee and en-route unit rate published only in national AIP GEN 4 / AIC — obtain current circular.</v>
      </c>
      <c r="L39" s="70">
        <f>$D$74</f>
        <v>50</v>
      </c>
      <c r="M39" s="70">
        <f>$D$75</f>
        <v>100</v>
      </c>
      <c r="N39" s="71">
        <f>$D$76</f>
        <v>40</v>
      </c>
      <c r="O39" s="72">
        <f t="shared" si="0"/>
        <v>59.6</v>
      </c>
      <c r="P39" s="72">
        <f t="shared" si="1"/>
        <v>109.6</v>
      </c>
    </row>
    <row r="40" spans="1:16" ht="25.2" customHeight="1" x14ac:dyDescent="0.3">
      <c r="A40" s="23" t="str">
        <f>Collector!A41</f>
        <v>Namibia</v>
      </c>
      <c r="B40" s="68">
        <v>0</v>
      </c>
      <c r="C40" s="68">
        <v>0</v>
      </c>
      <c r="D40" s="69">
        <v>20</v>
      </c>
      <c r="E40" s="68">
        <f>IF(Collector!E41="Yes",Collector!$D$64*$D$68,0)</f>
        <v>0</v>
      </c>
      <c r="F40" s="68">
        <f>IF(Collector!E41="Yes",Collector!$D$66*$D$68,0)</f>
        <v>0</v>
      </c>
      <c r="G40" s="68">
        <f>IF(Collector!F41="SADC VSAT",$D$61,0)</f>
        <v>9.6</v>
      </c>
      <c r="H40" s="68">
        <f>IF(Collector!F41="NAFISAT",$D$62,0)</f>
        <v>0</v>
      </c>
      <c r="I40" s="24" t="str">
        <f>IF(Collector!F41="AFISNET",$D$63,"n/a")</f>
        <v>n/a</v>
      </c>
      <c r="J40" s="24" t="str">
        <f>Collector!M41</f>
        <v>National unit rate x distance x sqrt(MTOW/50)</v>
      </c>
      <c r="K40" s="24" t="str">
        <f>IF(Collector!P41="","—",Collector!P41)</f>
        <v>CAA permit fee and en-route unit rate published only in national AIP GEN 4 / AIC — obtain current circular.</v>
      </c>
      <c r="L40" s="70">
        <f>$D$74</f>
        <v>50</v>
      </c>
      <c r="M40" s="70">
        <f>$D$75</f>
        <v>100</v>
      </c>
      <c r="N40" s="71">
        <f>$D$76</f>
        <v>40</v>
      </c>
      <c r="O40" s="72">
        <f t="shared" si="0"/>
        <v>59.6</v>
      </c>
      <c r="P40" s="72">
        <f t="shared" si="1"/>
        <v>109.6</v>
      </c>
    </row>
    <row r="41" spans="1:16" ht="25.2" customHeight="1" x14ac:dyDescent="0.3">
      <c r="A41" s="23" t="str">
        <f>Collector!A42</f>
        <v>Niger</v>
      </c>
      <c r="B41" s="68">
        <f>70*$D$68</f>
        <v>80.884999999999991</v>
      </c>
      <c r="C41" s="68">
        <v>0</v>
      </c>
      <c r="D41" s="69">
        <v>50</v>
      </c>
      <c r="E41" s="68">
        <f>IF(Collector!E42="Yes",Collector!$D$64*$D$68,0)</f>
        <v>122.29812</v>
      </c>
      <c r="F41" s="68">
        <f>IF(Collector!E42="Yes",Collector!$D$66*$D$68,0)</f>
        <v>244.60779499999998</v>
      </c>
      <c r="G41" s="68">
        <f>IF(Collector!F42="SADC VSAT",$D$61,0)</f>
        <v>0</v>
      </c>
      <c r="H41" s="68">
        <f>IF(Collector!F42="NAFISAT",$D$62,0)</f>
        <v>10</v>
      </c>
      <c r="I41" s="24" t="str">
        <f>IF(Collector!F42="AFISNET",$D$63,"n/a")</f>
        <v>n/a</v>
      </c>
      <c r="J41" s="24" t="str">
        <f>Collector!M42</f>
        <v>ASECNA: unit charge x coefficient — see calculator rows 61-91</v>
      </c>
      <c r="K41" s="24" t="str">
        <f>IF(Collector!P42="","—",Collector!P42)</f>
        <v>CAA overflight/landing permit fee is an administrative charge — not published in AIP; obtain from CAA or handler. En-route billed by ASECNA.</v>
      </c>
      <c r="L41" s="70">
        <f>$D$74</f>
        <v>50</v>
      </c>
      <c r="M41" s="70">
        <f>$D$75</f>
        <v>100</v>
      </c>
      <c r="N41" s="71">
        <f>$D$76</f>
        <v>40</v>
      </c>
      <c r="O41" s="72">
        <f t="shared" si="0"/>
        <v>507.79091499999993</v>
      </c>
      <c r="P41" s="72">
        <f t="shared" si="1"/>
        <v>476.90591499999999</v>
      </c>
    </row>
    <row r="42" spans="1:16" ht="25.2" customHeight="1" x14ac:dyDescent="0.3">
      <c r="A42" s="23" t="str">
        <f>Collector!A43</f>
        <v>Nigeria</v>
      </c>
      <c r="B42" s="68">
        <v>50</v>
      </c>
      <c r="C42" s="68">
        <v>50</v>
      </c>
      <c r="D42" s="69">
        <v>50</v>
      </c>
      <c r="E42" s="68">
        <f>IF(Collector!E43="Yes",Collector!$D$64*$D$68,0)</f>
        <v>0</v>
      </c>
      <c r="F42" s="68">
        <f>IF(Collector!E43="Yes",Collector!$D$66*$D$68,0)</f>
        <v>0</v>
      </c>
      <c r="G42" s="68">
        <f>IF(Collector!F43="SADC VSAT",$D$61,0)</f>
        <v>0</v>
      </c>
      <c r="H42" s="68">
        <f>IF(Collector!F43="NAFISAT",$D$62,0)</f>
        <v>10</v>
      </c>
      <c r="I42" s="24" t="str">
        <f>IF(Collector!F43="AFISNET",$D$63,"n/a")</f>
        <v>n/a</v>
      </c>
      <c r="J42" s="24" t="str">
        <f>Collector!M43</f>
        <v>National unit rate x distance x sqrt(MTOW/50)</v>
      </c>
      <c r="K42" s="24" t="str">
        <f>IF(Collector!P43="","—",Collector!P43)</f>
        <v>CAA permit fee and en-route unit rate published only in national AIP GEN 4 / AIC — obtain current circular.</v>
      </c>
      <c r="L42" s="70">
        <f>$D$74</f>
        <v>50</v>
      </c>
      <c r="M42" s="70">
        <f>$D$75</f>
        <v>100</v>
      </c>
      <c r="N42" s="71">
        <f>$D$76</f>
        <v>40</v>
      </c>
      <c r="O42" s="72">
        <f t="shared" si="0"/>
        <v>110</v>
      </c>
      <c r="P42" s="72">
        <f t="shared" si="1"/>
        <v>160</v>
      </c>
    </row>
    <row r="43" spans="1:16" ht="25.2" customHeight="1" x14ac:dyDescent="0.3">
      <c r="A43" s="23" t="str">
        <f>Collector!A44</f>
        <v>Rwanda</v>
      </c>
      <c r="B43" s="68">
        <v>500</v>
      </c>
      <c r="C43" s="68">
        <v>500</v>
      </c>
      <c r="D43" s="69">
        <v>50</v>
      </c>
      <c r="E43" s="68">
        <f>IF(Collector!E44="Yes",Collector!$D$64*$D$68,0)</f>
        <v>0</v>
      </c>
      <c r="F43" s="68">
        <f>IF(Collector!E44="Yes",Collector!$D$66*$D$68,0)</f>
        <v>0</v>
      </c>
      <c r="G43" s="68">
        <f>IF(Collector!F44="SADC VSAT",$D$61,0)</f>
        <v>0</v>
      </c>
      <c r="H43" s="68">
        <f>IF(Collector!F44="NAFISAT",$D$62,0)</f>
        <v>0</v>
      </c>
      <c r="I43" s="24" t="str">
        <f>IF(Collector!F44="AFISNET",$D$63,"n/a")</f>
        <v>n/a</v>
      </c>
      <c r="J43" s="24" t="str">
        <f>Collector!M44</f>
        <v>National unit rate x distance x sqrt(MTOW/50)</v>
      </c>
      <c r="K43" s="24" t="str">
        <f>IF(Collector!P44="","—",Collector!P44)</f>
        <v>CAA permit fee and en-route unit rate published only in national AIP GEN 4 / AIC — obtain current circular.</v>
      </c>
      <c r="L43" s="70">
        <f>$D$74</f>
        <v>50</v>
      </c>
      <c r="M43" s="70">
        <f>$D$75</f>
        <v>100</v>
      </c>
      <c r="N43" s="71">
        <f>$D$76</f>
        <v>40</v>
      </c>
      <c r="O43" s="72">
        <f t="shared" si="0"/>
        <v>550</v>
      </c>
      <c r="P43" s="72">
        <f t="shared" si="1"/>
        <v>600</v>
      </c>
    </row>
    <row r="44" spans="1:16" ht="25.2" customHeight="1" x14ac:dyDescent="0.3">
      <c r="A44" s="23" t="str">
        <f>Collector!A45</f>
        <v>São Tomé and Príncipe</v>
      </c>
      <c r="B44" s="68">
        <v>115</v>
      </c>
      <c r="C44" s="68">
        <v>0</v>
      </c>
      <c r="D44" s="69">
        <v>50</v>
      </c>
      <c r="E44" s="68">
        <f>IF(Collector!E45="Yes",Collector!$D$64*$D$68,0)</f>
        <v>0</v>
      </c>
      <c r="F44" s="68">
        <f>IF(Collector!E45="Yes",Collector!$D$66*$D$68,0)</f>
        <v>0</v>
      </c>
      <c r="G44" s="68">
        <f>IF(Collector!F45="SADC VSAT",$D$61,0)</f>
        <v>0</v>
      </c>
      <c r="H44" s="68">
        <f>IF(Collector!F45="NAFISAT",$D$62,0)</f>
        <v>0</v>
      </c>
      <c r="I44" s="24" t="str">
        <f>IF(Collector!F45="AFISNET",$D$63,"n/a")</f>
        <v>Not published separately</v>
      </c>
      <c r="J44" s="24" t="str">
        <f>Collector!M45</f>
        <v>National unit rate x distance x sqrt(MTOW/50)</v>
      </c>
      <c r="K44" s="24" t="str">
        <f>IF(Collector!P45="","—",Collector!P45)</f>
        <v>CAA permit fee and en-route unit rate published only in national AIP GEN 4 / AIC — obtain current circular.</v>
      </c>
      <c r="L44" s="70">
        <f>$D$74</f>
        <v>50</v>
      </c>
      <c r="M44" s="70">
        <f>$D$75</f>
        <v>100</v>
      </c>
      <c r="N44" s="71">
        <f>$D$76</f>
        <v>40</v>
      </c>
      <c r="O44" s="72">
        <f t="shared" si="0"/>
        <v>165</v>
      </c>
      <c r="P44" s="72">
        <f t="shared" si="1"/>
        <v>100</v>
      </c>
    </row>
    <row r="45" spans="1:16" ht="25.2" customHeight="1" x14ac:dyDescent="0.3">
      <c r="A45" s="23" t="str">
        <f>Collector!A46</f>
        <v>Senegal</v>
      </c>
      <c r="B45" s="68">
        <v>50</v>
      </c>
      <c r="C45" s="68">
        <v>50</v>
      </c>
      <c r="D45" s="69">
        <v>20</v>
      </c>
      <c r="E45" s="68">
        <f>IF(Collector!E46="Yes",Collector!$D$64*$D$68,0)</f>
        <v>122.29812</v>
      </c>
      <c r="F45" s="68">
        <f>IF(Collector!E46="Yes",Collector!$D$66*$D$68,0)</f>
        <v>244.60779499999998</v>
      </c>
      <c r="G45" s="68">
        <f>IF(Collector!F46="SADC VSAT",$D$61,0)</f>
        <v>0</v>
      </c>
      <c r="H45" s="68">
        <f>IF(Collector!F46="NAFISAT",$D$62,0)</f>
        <v>0</v>
      </c>
      <c r="I45" s="24" t="str">
        <f>IF(Collector!F46="AFISNET",$D$63,"n/a")</f>
        <v>Not published separately</v>
      </c>
      <c r="J45" s="24" t="str">
        <f>Collector!M46</f>
        <v>ASECNA: unit charge x coefficient — see calculator rows 61-91</v>
      </c>
      <c r="K45" s="24" t="str">
        <f>IF(Collector!P46="","—",Collector!P46)</f>
        <v>CAA overflight/landing permit fee is an administrative charge — not published in AIP; obtain from CAA or handler. En-route billed by ASECNA.</v>
      </c>
      <c r="L45" s="70">
        <f>$D$74</f>
        <v>50</v>
      </c>
      <c r="M45" s="70">
        <f>$D$75</f>
        <v>100</v>
      </c>
      <c r="N45" s="71">
        <f>$D$76</f>
        <v>40</v>
      </c>
      <c r="O45" s="72">
        <f t="shared" si="0"/>
        <v>466.90591499999994</v>
      </c>
      <c r="P45" s="72">
        <f t="shared" si="1"/>
        <v>516.90591499999994</v>
      </c>
    </row>
    <row r="46" spans="1:16" ht="25.2" customHeight="1" x14ac:dyDescent="0.3">
      <c r="A46" s="23" t="str">
        <f>Collector!A47</f>
        <v>Seychelles</v>
      </c>
      <c r="B46" s="68">
        <v>0</v>
      </c>
      <c r="C46" s="68">
        <v>0</v>
      </c>
      <c r="D46" s="69">
        <v>20</v>
      </c>
      <c r="E46" s="68">
        <f>IF(Collector!E47="Yes",Collector!$D$64*$D$68,0)</f>
        <v>0</v>
      </c>
      <c r="F46" s="68">
        <f>IF(Collector!E47="Yes",Collector!$D$66*$D$68,0)</f>
        <v>0</v>
      </c>
      <c r="G46" s="68">
        <f>IF(Collector!F47="SADC VSAT",$D$61,0)</f>
        <v>0</v>
      </c>
      <c r="H46" s="68">
        <f>IF(Collector!F47="NAFISAT",$D$62,0)</f>
        <v>0</v>
      </c>
      <c r="I46" s="24" t="str">
        <f>IF(Collector!F47="AFISNET",$D$63,"n/a")</f>
        <v>n/a</v>
      </c>
      <c r="J46" s="24" t="str">
        <f>Collector!M47</f>
        <v>National unit rate x distance x sqrt(MTOW/50)</v>
      </c>
      <c r="K46" s="24" t="str">
        <f>IF(Collector!P47="","—",Collector!P47)</f>
        <v>CAA permit fee and en-route unit rate published only in national AIP GEN 4 / AIC — obtain current circular.</v>
      </c>
      <c r="L46" s="70">
        <f>$D$74</f>
        <v>50</v>
      </c>
      <c r="M46" s="70">
        <f>$D$75</f>
        <v>100</v>
      </c>
      <c r="N46" s="71">
        <f>$D$76</f>
        <v>40</v>
      </c>
      <c r="O46" s="72">
        <f t="shared" si="0"/>
        <v>50</v>
      </c>
      <c r="P46" s="72">
        <f t="shared" si="1"/>
        <v>100</v>
      </c>
    </row>
    <row r="47" spans="1:16" ht="25.2" customHeight="1" x14ac:dyDescent="0.3">
      <c r="A47" s="23" t="str">
        <f>Collector!A48</f>
        <v>Sierra Leone</v>
      </c>
      <c r="B47" s="68">
        <v>50</v>
      </c>
      <c r="C47" s="68">
        <v>50</v>
      </c>
      <c r="D47" s="69">
        <v>20</v>
      </c>
      <c r="E47" s="68">
        <f>IF(Collector!E48="Yes",Collector!$D$64*$D$68,0)</f>
        <v>0</v>
      </c>
      <c r="F47" s="68">
        <f>IF(Collector!E48="Yes",Collector!$D$66*$D$68,0)</f>
        <v>0</v>
      </c>
      <c r="G47" s="68">
        <f>IF(Collector!F48="SADC VSAT",$D$61,0)</f>
        <v>0</v>
      </c>
      <c r="H47" s="68">
        <f>IF(Collector!F48="NAFISAT",$D$62,0)</f>
        <v>0</v>
      </c>
      <c r="I47" s="24" t="str">
        <f>IF(Collector!F48="AFISNET",$D$63,"n/a")</f>
        <v>Not published separately</v>
      </c>
      <c r="J47" s="24" t="str">
        <f>Collector!M48</f>
        <v>National unit rate x distance x sqrt(MTOW/50)</v>
      </c>
      <c r="K47" s="24" t="str">
        <f>IF(Collector!P48="","—",Collector!P48)</f>
        <v>CAA permit fee and en-route unit rate published only in national AIP GEN 4 / AIC — obtain current circular.</v>
      </c>
      <c r="L47" s="70">
        <f>$D$74</f>
        <v>50</v>
      </c>
      <c r="M47" s="70">
        <f>$D$75</f>
        <v>100</v>
      </c>
      <c r="N47" s="71">
        <f>$D$76</f>
        <v>40</v>
      </c>
      <c r="O47" s="72">
        <f t="shared" si="0"/>
        <v>100</v>
      </c>
      <c r="P47" s="72">
        <f t="shared" si="1"/>
        <v>150</v>
      </c>
    </row>
    <row r="48" spans="1:16" ht="25.2" customHeight="1" x14ac:dyDescent="0.3">
      <c r="A48" s="23" t="str">
        <f>Collector!A49</f>
        <v>Somalia</v>
      </c>
      <c r="B48" s="68">
        <v>0</v>
      </c>
      <c r="C48" s="68">
        <v>0</v>
      </c>
      <c r="D48" s="69">
        <v>20</v>
      </c>
      <c r="E48" s="68">
        <f>IF(Collector!E49="Yes",Collector!$D$64*$D$68,0)</f>
        <v>0</v>
      </c>
      <c r="F48" s="68">
        <f>IF(Collector!E49="Yes",Collector!$D$66*$D$68,0)</f>
        <v>0</v>
      </c>
      <c r="G48" s="68">
        <f>IF(Collector!F49="SADC VSAT",$D$61,0)</f>
        <v>0</v>
      </c>
      <c r="H48" s="68">
        <f>IF(Collector!F49="NAFISAT",$D$62,0)</f>
        <v>0</v>
      </c>
      <c r="I48" s="24" t="str">
        <f>IF(Collector!F49="AFISNET",$D$63,"n/a")</f>
        <v>n/a</v>
      </c>
      <c r="J48" s="24" t="str">
        <f>Collector!M49</f>
        <v>Flat en-route charge per crossing (FIR)</v>
      </c>
      <c r="K48" s="24" t="str">
        <f>IF(Collector!P49="","—",Collector!P49)</f>
        <v>CAA permit fee and en-route unit rate published only in national AIP GEN 4 / AIC — obtain current circular.</v>
      </c>
      <c r="L48" s="70">
        <f>$D$74</f>
        <v>50</v>
      </c>
      <c r="M48" s="70">
        <f>$D$75</f>
        <v>100</v>
      </c>
      <c r="N48" s="71">
        <f>$D$76</f>
        <v>40</v>
      </c>
      <c r="O48" s="72">
        <f t="shared" si="0"/>
        <v>50</v>
      </c>
      <c r="P48" s="72">
        <f t="shared" si="1"/>
        <v>100</v>
      </c>
    </row>
    <row r="49" spans="1:16" ht="25.2" customHeight="1" x14ac:dyDescent="0.3">
      <c r="A49" s="23" t="str">
        <f>Collector!A50</f>
        <v>South Africa</v>
      </c>
      <c r="B49" s="68">
        <v>0</v>
      </c>
      <c r="C49" s="68">
        <v>0</v>
      </c>
      <c r="D49" s="69">
        <v>100</v>
      </c>
      <c r="E49" s="68">
        <f>IF(Collector!E50="Yes",Collector!$D$64*$D$68,0)</f>
        <v>0</v>
      </c>
      <c r="F49" s="68">
        <f>IF(Collector!E50="Yes",Collector!$D$66*$D$68,0)</f>
        <v>0</v>
      </c>
      <c r="G49" s="68">
        <f>IF(Collector!F50="SADC VSAT",$D$61,0)</f>
        <v>9.6</v>
      </c>
      <c r="H49" s="68">
        <f>IF(Collector!F50="NAFISAT",$D$62,0)</f>
        <v>0</v>
      </c>
      <c r="I49" s="24" t="str">
        <f>IF(Collector!F50="AFISNET",$D$63,"n/a")</f>
        <v>n/a</v>
      </c>
      <c r="J49" s="24" t="str">
        <f>Collector!M50</f>
        <v>National unit rate x distance x sqrt(MTOW/50)</v>
      </c>
      <c r="K49" s="24" t="str">
        <f>IF(Collector!P50="","—",Collector!P50)</f>
        <v>CAA permit fee and en-route unit rate published only in national AIP GEN 4 / AIC — obtain current circular.</v>
      </c>
      <c r="L49" s="70">
        <f>$D$74</f>
        <v>50</v>
      </c>
      <c r="M49" s="70">
        <f>$D$75</f>
        <v>100</v>
      </c>
      <c r="N49" s="71">
        <f>$D$76</f>
        <v>40</v>
      </c>
      <c r="O49" s="72">
        <f t="shared" si="0"/>
        <v>59.6</v>
      </c>
      <c r="P49" s="72">
        <f t="shared" si="1"/>
        <v>109.6</v>
      </c>
    </row>
    <row r="50" spans="1:16" ht="25.2" customHeight="1" x14ac:dyDescent="0.3">
      <c r="A50" s="23" t="str">
        <f>Collector!A51</f>
        <v>South Sudan</v>
      </c>
      <c r="B50" s="68">
        <v>60</v>
      </c>
      <c r="C50" s="68">
        <v>60</v>
      </c>
      <c r="D50" s="69">
        <v>20</v>
      </c>
      <c r="E50" s="68">
        <f>IF(Collector!E51="Yes",Collector!$D$64*$D$68,0)</f>
        <v>0</v>
      </c>
      <c r="F50" s="68">
        <f>IF(Collector!E51="Yes",Collector!$D$66*$D$68,0)</f>
        <v>0</v>
      </c>
      <c r="G50" s="68">
        <f>IF(Collector!F51="SADC VSAT",$D$61,0)</f>
        <v>0</v>
      </c>
      <c r="H50" s="68">
        <f>IF(Collector!F51="NAFISAT",$D$62,0)</f>
        <v>10</v>
      </c>
      <c r="I50" s="24" t="str">
        <f>IF(Collector!F51="AFISNET",$D$63,"n/a")</f>
        <v>n/a</v>
      </c>
      <c r="J50" s="24" t="str">
        <f>Collector!M51</f>
        <v>National unit rate x distance x sqrt(MTOW/50)</v>
      </c>
      <c r="K50" s="24" t="str">
        <f>IF(Collector!P51="","—",Collector!P51)</f>
        <v>CAA permit fee and en-route unit rate published only in national AIP GEN 4 / AIC — obtain current circular.</v>
      </c>
      <c r="L50" s="70">
        <f>$D$74</f>
        <v>50</v>
      </c>
      <c r="M50" s="70">
        <f>$D$75</f>
        <v>100</v>
      </c>
      <c r="N50" s="71">
        <f>$D$76</f>
        <v>40</v>
      </c>
      <c r="O50" s="72">
        <f t="shared" si="0"/>
        <v>120</v>
      </c>
      <c r="P50" s="72">
        <f t="shared" si="1"/>
        <v>170</v>
      </c>
    </row>
    <row r="51" spans="1:16" ht="25.2" customHeight="1" x14ac:dyDescent="0.3">
      <c r="A51" s="25" t="str">
        <f>Collector!A52</f>
        <v>Sudan</v>
      </c>
      <c r="B51" s="73">
        <f>750*$D$69</f>
        <v>927.22499999999991</v>
      </c>
      <c r="C51" s="73">
        <f>750*$D$69</f>
        <v>927.22499999999991</v>
      </c>
      <c r="D51" s="74">
        <v>100</v>
      </c>
      <c r="E51" s="73">
        <f>IF(Collector!E52="Yes",Collector!$D$64*$D$68,0)</f>
        <v>0</v>
      </c>
      <c r="F51" s="73">
        <f>IF(Collector!E52="Yes",Collector!$D$66*$D$68,0)</f>
        <v>0</v>
      </c>
      <c r="G51" s="73">
        <f>IF(Collector!F52="SADC VSAT",$D$61,0)</f>
        <v>0</v>
      </c>
      <c r="H51" s="73">
        <f>IF(Collector!F52="NAFISAT",$D$62,0)</f>
        <v>10</v>
      </c>
      <c r="I51" s="26" t="str">
        <f>IF(Collector!F52="AFISNET",$D$63,"n/a")</f>
        <v>n/a</v>
      </c>
      <c r="J51" s="26" t="str">
        <f>Collector!M52</f>
        <v>National unit rate x distance x sqrt(MTOW/50)</v>
      </c>
      <c r="K51" s="26" t="str">
        <f>IF(Collector!P52="","—",Collector!P52)</f>
        <v>CAA permit fee and en-route unit rate published only in national AIP GEN 4 / AIC — obtain current circular.</v>
      </c>
      <c r="L51" s="75">
        <f>$D$74</f>
        <v>50</v>
      </c>
      <c r="M51" s="75">
        <f>$D$75</f>
        <v>100</v>
      </c>
      <c r="N51" s="76">
        <f>$D$76</f>
        <v>40</v>
      </c>
      <c r="O51" s="72">
        <f t="shared" si="0"/>
        <v>987.22499999999991</v>
      </c>
      <c r="P51" s="72">
        <f t="shared" si="1"/>
        <v>1037.2249999999999</v>
      </c>
    </row>
    <row r="52" spans="1:16" ht="25.2" customHeight="1" x14ac:dyDescent="0.3">
      <c r="A52" s="23" t="str">
        <f>Collector!A53</f>
        <v>Tanzania</v>
      </c>
      <c r="B52" s="68">
        <v>100</v>
      </c>
      <c r="C52" s="68">
        <v>100</v>
      </c>
      <c r="D52" s="69">
        <v>20</v>
      </c>
      <c r="E52" s="68">
        <f>IF(Collector!E53="Yes",Collector!$D$64*$D$68,0)</f>
        <v>0</v>
      </c>
      <c r="F52" s="68">
        <f>IF(Collector!E53="Yes",Collector!$D$66*$D$68,0)</f>
        <v>0</v>
      </c>
      <c r="G52" s="68">
        <f>IF(Collector!F53="SADC VSAT",$D$61,0)</f>
        <v>9.6</v>
      </c>
      <c r="H52" s="68">
        <f>IF(Collector!F53="NAFISAT",$D$62,0)</f>
        <v>0</v>
      </c>
      <c r="I52" s="24" t="str">
        <f>IF(Collector!F53="AFISNET",$D$63,"n/a")</f>
        <v>n/a</v>
      </c>
      <c r="J52" s="24" t="str">
        <f>Collector!M53</f>
        <v>National unit rate x distance x sqrt(MTOW/50)</v>
      </c>
      <c r="K52" s="24" t="str">
        <f>IF(Collector!P53="","—",Collector!P53)</f>
        <v>CAA permit fee and en-route unit rate published only in national AIP GEN 4 / AIC — obtain current circular.</v>
      </c>
      <c r="L52" s="70">
        <f>$D$74</f>
        <v>50</v>
      </c>
      <c r="M52" s="70">
        <f>$D$75</f>
        <v>100</v>
      </c>
      <c r="N52" s="71">
        <f>$D$76</f>
        <v>40</v>
      </c>
      <c r="O52" s="72">
        <f t="shared" si="0"/>
        <v>159.6</v>
      </c>
      <c r="P52" s="72">
        <f t="shared" si="1"/>
        <v>209.6</v>
      </c>
    </row>
    <row r="53" spans="1:16" ht="25.2" customHeight="1" x14ac:dyDescent="0.3">
      <c r="A53" s="23" t="str">
        <f>Collector!A54</f>
        <v>Togo</v>
      </c>
      <c r="B53" s="68">
        <v>60</v>
      </c>
      <c r="C53" s="68">
        <v>60</v>
      </c>
      <c r="D53" s="69">
        <v>20</v>
      </c>
      <c r="E53" s="68">
        <f>IF(Collector!E54="Yes",Collector!$D$64*$D$68,0)</f>
        <v>122.29812</v>
      </c>
      <c r="F53" s="68">
        <f>IF(Collector!E54="Yes",Collector!$D$66*$D$68,0)</f>
        <v>244.60779499999998</v>
      </c>
      <c r="G53" s="68">
        <f>IF(Collector!F54="SADC VSAT",$D$61,0)</f>
        <v>0</v>
      </c>
      <c r="H53" s="68">
        <f>IF(Collector!F54="NAFISAT",$D$62,0)</f>
        <v>0</v>
      </c>
      <c r="I53" s="24" t="str">
        <f>IF(Collector!F54="AFISNET",$D$63,"n/a")</f>
        <v>Not published separately</v>
      </c>
      <c r="J53" s="24" t="str">
        <f>Collector!M54</f>
        <v>ASECNA: unit charge x coefficient — see calculator rows 61-91</v>
      </c>
      <c r="K53" s="24" t="str">
        <f>IF(Collector!P54="","—",Collector!P54)</f>
        <v>CAA overflight/landing permit fee is an administrative charge — not published in AIP; obtain from CAA or handler. En-route billed by ASECNA.</v>
      </c>
      <c r="L53" s="70">
        <f>$D$74</f>
        <v>50</v>
      </c>
      <c r="M53" s="70">
        <f>$D$75</f>
        <v>100</v>
      </c>
      <c r="N53" s="71">
        <f>$D$76</f>
        <v>40</v>
      </c>
      <c r="O53" s="72">
        <f t="shared" si="0"/>
        <v>476.90591499999994</v>
      </c>
      <c r="P53" s="72">
        <f t="shared" si="1"/>
        <v>526.90591499999994</v>
      </c>
    </row>
    <row r="54" spans="1:16" ht="25.2" customHeight="1" x14ac:dyDescent="0.3">
      <c r="A54" s="23" t="str">
        <f>Collector!A55</f>
        <v>Tunisia</v>
      </c>
      <c r="B54" s="68">
        <v>100</v>
      </c>
      <c r="C54" s="68">
        <v>100</v>
      </c>
      <c r="D54" s="69">
        <v>20</v>
      </c>
      <c r="E54" s="68">
        <f>IF(Collector!E55="Yes",Collector!$D$64*$D$68,0)</f>
        <v>0</v>
      </c>
      <c r="F54" s="68">
        <f>IF(Collector!E55="Yes",Collector!$D$66*$D$68,0)</f>
        <v>0</v>
      </c>
      <c r="G54" s="68">
        <f>IF(Collector!F55="SADC VSAT",$D$61,0)</f>
        <v>0</v>
      </c>
      <c r="H54" s="68">
        <f>IF(Collector!F55="NAFISAT",$D$62,0)</f>
        <v>10</v>
      </c>
      <c r="I54" s="24" t="str">
        <f>IF(Collector!F55="AFISNET",$D$63,"n/a")</f>
        <v>n/a</v>
      </c>
      <c r="J54" s="24" t="str">
        <f>Collector!M55</f>
        <v>National unit rate x distance x sqrt(MTOW/50)</v>
      </c>
      <c r="K54" s="24" t="str">
        <f>IF(Collector!P55="","—",Collector!P55)</f>
        <v>CAA permit fee and en-route unit rate published only in national AIP GEN 4 / AIC — obtain current circular.</v>
      </c>
      <c r="L54" s="70">
        <f>$D$74</f>
        <v>50</v>
      </c>
      <c r="M54" s="70">
        <f>$D$75</f>
        <v>100</v>
      </c>
      <c r="N54" s="71">
        <f>$D$76</f>
        <v>40</v>
      </c>
      <c r="O54" s="72">
        <f t="shared" si="0"/>
        <v>160</v>
      </c>
      <c r="P54" s="72">
        <f t="shared" si="1"/>
        <v>210</v>
      </c>
    </row>
    <row r="55" spans="1:16" ht="25.2" customHeight="1" x14ac:dyDescent="0.3">
      <c r="A55" s="23" t="str">
        <f>Collector!A56</f>
        <v>Uganda</v>
      </c>
      <c r="B55" s="68">
        <v>0</v>
      </c>
      <c r="C55" s="68">
        <v>0</v>
      </c>
      <c r="D55" s="69">
        <v>20</v>
      </c>
      <c r="E55" s="68">
        <f>IF(Collector!E56="Yes",Collector!$D$64*$D$68,0)</f>
        <v>0</v>
      </c>
      <c r="F55" s="68">
        <f>IF(Collector!E56="Yes",Collector!$D$66*$D$68,0)</f>
        <v>0</v>
      </c>
      <c r="G55" s="68">
        <f>IF(Collector!F56="SADC VSAT",$D$61,0)</f>
        <v>0</v>
      </c>
      <c r="H55" s="68">
        <f>IF(Collector!F56="NAFISAT",$D$62,0)</f>
        <v>0</v>
      </c>
      <c r="I55" s="24" t="str">
        <f>IF(Collector!F56="AFISNET",$D$63,"n/a")</f>
        <v>n/a</v>
      </c>
      <c r="J55" s="24" t="str">
        <f>Collector!M56</f>
        <v>National unit rate x distance x sqrt(MTOW/50)</v>
      </c>
      <c r="K55" s="24" t="str">
        <f>IF(Collector!P56="","—",Collector!P56)</f>
        <v>CAA permit fee and en-route unit rate published only in national AIP GEN 4 / AIC — obtain current circular.</v>
      </c>
      <c r="L55" s="70">
        <f>$D$74</f>
        <v>50</v>
      </c>
      <c r="M55" s="70">
        <f>$D$75</f>
        <v>100</v>
      </c>
      <c r="N55" s="71">
        <f>$D$76</f>
        <v>40</v>
      </c>
      <c r="O55" s="72">
        <f t="shared" si="0"/>
        <v>50</v>
      </c>
      <c r="P55" s="72">
        <f t="shared" si="1"/>
        <v>100</v>
      </c>
    </row>
    <row r="56" spans="1:16" ht="25.2" customHeight="1" x14ac:dyDescent="0.3">
      <c r="A56" s="23" t="str">
        <f>Collector!A57</f>
        <v>Zambia</v>
      </c>
      <c r="B56" s="68">
        <v>0</v>
      </c>
      <c r="C56" s="68">
        <v>0</v>
      </c>
      <c r="D56" s="69">
        <v>20</v>
      </c>
      <c r="E56" s="68">
        <f>IF(Collector!E57="Yes",Collector!$D$64*$D$68,0)</f>
        <v>0</v>
      </c>
      <c r="F56" s="68">
        <f>IF(Collector!E57="Yes",Collector!$D$66*$D$68,0)</f>
        <v>0</v>
      </c>
      <c r="G56" s="68">
        <f>IF(Collector!F57="SADC VSAT",$D$61,0)</f>
        <v>9.6</v>
      </c>
      <c r="H56" s="68">
        <f>IF(Collector!F57="NAFISAT",$D$62,0)</f>
        <v>0</v>
      </c>
      <c r="I56" s="24" t="str">
        <f>IF(Collector!F57="AFISNET",$D$63,"n/a")</f>
        <v>n/a</v>
      </c>
      <c r="J56" s="24" t="str">
        <f>Collector!M57</f>
        <v>National unit rate x distance x sqrt(MTOW/50)</v>
      </c>
      <c r="K56" s="24" t="str">
        <f>IF(Collector!P57="","—",Collector!P57)</f>
        <v>CAA permit fee and en-route unit rate published only in national AIP GEN 4 / AIC — obtain current circular.</v>
      </c>
      <c r="L56" s="70">
        <f>$D$74</f>
        <v>50</v>
      </c>
      <c r="M56" s="70">
        <f>$D$75</f>
        <v>100</v>
      </c>
      <c r="N56" s="71">
        <f>$D$76</f>
        <v>40</v>
      </c>
      <c r="O56" s="72">
        <f t="shared" si="0"/>
        <v>59.6</v>
      </c>
      <c r="P56" s="72">
        <f t="shared" si="1"/>
        <v>109.6</v>
      </c>
    </row>
    <row r="57" spans="1:16" ht="25.2" customHeight="1" x14ac:dyDescent="0.3">
      <c r="A57" s="27" t="str">
        <f>Collector!A58</f>
        <v>Zimbabwe</v>
      </c>
      <c r="B57" s="77">
        <v>100</v>
      </c>
      <c r="C57" s="77">
        <v>100</v>
      </c>
      <c r="D57" s="78">
        <v>20</v>
      </c>
      <c r="E57" s="79">
        <f>IF(Collector!E58="Yes",Collector!$D$64*$D$68,0)</f>
        <v>0</v>
      </c>
      <c r="F57" s="79">
        <f>IF(Collector!E58="Yes",Collector!$D$66*$D$68,0)</f>
        <v>0</v>
      </c>
      <c r="G57" s="79">
        <f>IF(Collector!F58="SADC VSAT",$D$61,0)</f>
        <v>9.6</v>
      </c>
      <c r="H57" s="79">
        <f>IF(Collector!F58="NAFISAT",$D$62,0)</f>
        <v>0</v>
      </c>
      <c r="I57" s="28" t="str">
        <f>IF(Collector!F58="AFISNET",$D$63,"n/a")</f>
        <v>n/a</v>
      </c>
      <c r="J57" s="28" t="str">
        <f>Collector!M58</f>
        <v>National unit rate x distance x sqrt(MTOW/50)</v>
      </c>
      <c r="K57" s="28" t="str">
        <f>IF(Collector!P58="","—",Collector!P58)</f>
        <v>CAA permit fee and en-route unit rate published only in national AIP GEN 4 / AIC — obtain current circular.</v>
      </c>
      <c r="L57" s="80">
        <f>$D$74</f>
        <v>50</v>
      </c>
      <c r="M57" s="80">
        <f>$D$75</f>
        <v>100</v>
      </c>
      <c r="N57" s="81">
        <f>$D$76</f>
        <v>40</v>
      </c>
      <c r="O57" s="72">
        <f t="shared" si="0"/>
        <v>159.6</v>
      </c>
      <c r="P57" s="72">
        <f t="shared" si="1"/>
        <v>209.6</v>
      </c>
    </row>
    <row r="58" spans="1:16" x14ac:dyDescent="0.3">
      <c r="A58" s="18"/>
      <c r="B58" s="18"/>
      <c r="C58" s="18"/>
      <c r="D58" s="18"/>
      <c r="E58" s="18"/>
      <c r="F58" s="18"/>
      <c r="G58" s="18"/>
      <c r="H58" s="18"/>
      <c r="I58" s="18"/>
      <c r="J58" s="18"/>
      <c r="K58" s="18"/>
      <c r="L58" s="18"/>
      <c r="M58" s="18"/>
      <c r="N58" s="18"/>
      <c r="O58" s="18"/>
      <c r="P58" s="18"/>
    </row>
    <row r="59" spans="1:16" x14ac:dyDescent="0.3">
      <c r="A59" s="18"/>
      <c r="B59" s="18"/>
      <c r="C59" s="18"/>
      <c r="D59" s="18"/>
      <c r="E59" s="18"/>
      <c r="F59" s="18"/>
      <c r="G59" s="18"/>
      <c r="H59" s="18"/>
      <c r="I59" s="18"/>
      <c r="J59" s="18"/>
      <c r="K59" s="18"/>
      <c r="L59" s="18"/>
      <c r="M59" s="18"/>
      <c r="N59" s="18"/>
      <c r="O59" s="18"/>
      <c r="P59" s="18"/>
    </row>
    <row r="60" spans="1:16" x14ac:dyDescent="0.3">
      <c r="A60" s="29" t="s">
        <v>243</v>
      </c>
      <c r="B60" s="18"/>
      <c r="C60" s="18"/>
      <c r="D60" s="18"/>
      <c r="E60" s="18"/>
      <c r="F60" s="18"/>
      <c r="G60" s="18"/>
      <c r="H60" s="18"/>
      <c r="I60" s="18"/>
      <c r="J60" s="18"/>
      <c r="K60" s="18"/>
      <c r="L60" s="18"/>
      <c r="M60" s="18"/>
      <c r="N60" s="18"/>
      <c r="O60" s="18"/>
      <c r="P60" s="18"/>
    </row>
    <row r="61" spans="1:16" x14ac:dyDescent="0.3">
      <c r="A61" s="18" t="s">
        <v>264</v>
      </c>
      <c r="B61" s="18"/>
      <c r="C61" s="18"/>
      <c r="D61" s="82">
        <v>9.6</v>
      </c>
      <c r="E61" s="18"/>
      <c r="F61" s="18"/>
      <c r="G61" s="18"/>
      <c r="H61" s="18"/>
      <c r="I61" s="18"/>
      <c r="J61" s="18"/>
      <c r="K61" s="18"/>
      <c r="L61" s="18"/>
      <c r="M61" s="18"/>
      <c r="N61" s="18"/>
      <c r="O61" s="18"/>
      <c r="P61" s="18"/>
    </row>
    <row r="62" spans="1:16" x14ac:dyDescent="0.3">
      <c r="A62" s="18" t="s">
        <v>265</v>
      </c>
      <c r="B62" s="18"/>
      <c r="C62" s="18"/>
      <c r="D62" s="82">
        <v>10</v>
      </c>
      <c r="E62" s="18"/>
      <c r="F62" s="18"/>
      <c r="G62" s="18"/>
      <c r="H62" s="18"/>
      <c r="I62" s="18"/>
      <c r="J62" s="18"/>
      <c r="K62" s="18"/>
      <c r="L62" s="18"/>
      <c r="M62" s="18"/>
      <c r="N62" s="18"/>
      <c r="O62" s="18"/>
      <c r="P62" s="18"/>
    </row>
    <row r="63" spans="1:16" x14ac:dyDescent="0.3">
      <c r="A63" s="18" t="s">
        <v>244</v>
      </c>
      <c r="B63" s="18"/>
      <c r="C63" s="18"/>
      <c r="D63" s="30" t="s">
        <v>245</v>
      </c>
      <c r="E63" s="18"/>
      <c r="F63" s="18"/>
      <c r="G63" s="18"/>
      <c r="H63" s="18"/>
      <c r="I63" s="18"/>
      <c r="J63" s="18"/>
      <c r="K63" s="18"/>
      <c r="L63" s="18"/>
      <c r="M63" s="18"/>
      <c r="N63" s="18"/>
      <c r="O63" s="18"/>
      <c r="P63" s="18"/>
    </row>
    <row r="64" spans="1:16" x14ac:dyDescent="0.3">
      <c r="A64" s="18" t="s">
        <v>246</v>
      </c>
      <c r="B64" s="18"/>
      <c r="C64" s="18"/>
      <c r="D64" s="15">
        <f>Collector!D64</f>
        <v>105.84</v>
      </c>
      <c r="E64" s="18"/>
      <c r="F64" s="18"/>
      <c r="G64" s="18"/>
      <c r="H64" s="18"/>
      <c r="I64" s="18"/>
      <c r="J64" s="18"/>
      <c r="K64" s="18"/>
      <c r="L64" s="18"/>
      <c r="M64" s="18"/>
      <c r="N64" s="18"/>
      <c r="O64" s="18"/>
      <c r="P64" s="18"/>
    </row>
    <row r="65" spans="1:16" x14ac:dyDescent="0.3">
      <c r="A65" s="18" t="s">
        <v>247</v>
      </c>
      <c r="B65" s="18"/>
      <c r="C65" s="18"/>
      <c r="D65" s="15">
        <f>Collector!D66</f>
        <v>211.69</v>
      </c>
      <c r="E65" s="18"/>
      <c r="F65" s="18"/>
      <c r="G65" s="18"/>
      <c r="H65" s="18"/>
      <c r="I65" s="18"/>
      <c r="J65" s="18"/>
      <c r="K65" s="18"/>
      <c r="L65" s="18"/>
      <c r="M65" s="18"/>
      <c r="N65" s="18"/>
      <c r="O65" s="18"/>
      <c r="P65" s="18"/>
    </row>
    <row r="66" spans="1:16" x14ac:dyDescent="0.3">
      <c r="A66" s="31" t="s">
        <v>248</v>
      </c>
      <c r="B66" s="18"/>
      <c r="C66" s="18"/>
      <c r="D66" s="18"/>
      <c r="E66" s="18"/>
      <c r="F66" s="18"/>
      <c r="G66" s="18"/>
      <c r="H66" s="18"/>
      <c r="I66" s="18"/>
      <c r="J66" s="18"/>
      <c r="K66" s="18"/>
      <c r="L66" s="18"/>
      <c r="M66" s="18"/>
      <c r="N66" s="18"/>
      <c r="O66" s="18"/>
      <c r="P66" s="18"/>
    </row>
    <row r="67" spans="1:16" x14ac:dyDescent="0.3">
      <c r="A67" s="31"/>
      <c r="B67" s="18"/>
      <c r="C67" s="18"/>
      <c r="D67" s="18"/>
      <c r="E67" s="18"/>
      <c r="F67" s="18"/>
      <c r="G67" s="18"/>
      <c r="H67" s="18"/>
      <c r="I67" s="18"/>
      <c r="J67" s="18"/>
      <c r="K67" s="18"/>
      <c r="L67" s="18"/>
      <c r="M67" s="18"/>
      <c r="N67" s="18"/>
      <c r="O67" s="18"/>
      <c r="P67" s="18"/>
    </row>
    <row r="68" spans="1:16" x14ac:dyDescent="0.3">
      <c r="A68" s="18" t="s">
        <v>266</v>
      </c>
      <c r="B68" s="18"/>
      <c r="C68" s="18"/>
      <c r="D68" s="16">
        <v>1.1555</v>
      </c>
      <c r="E68" s="18"/>
      <c r="F68" s="18"/>
      <c r="G68" s="18"/>
      <c r="H68" s="18"/>
      <c r="I68" s="18"/>
      <c r="J68" s="18"/>
      <c r="K68" s="18"/>
      <c r="L68" s="18"/>
      <c r="M68" s="18"/>
      <c r="N68" s="18"/>
      <c r="O68" s="18"/>
      <c r="P68" s="18"/>
    </row>
    <row r="69" spans="1:16" x14ac:dyDescent="0.3">
      <c r="A69" s="18" t="s">
        <v>272</v>
      </c>
      <c r="B69" s="18"/>
      <c r="C69" s="18"/>
      <c r="D69" s="16">
        <v>1.2363</v>
      </c>
      <c r="E69" s="18"/>
      <c r="F69" s="18"/>
      <c r="G69" s="18"/>
      <c r="H69" s="18"/>
      <c r="I69" s="18"/>
      <c r="J69" s="18"/>
      <c r="K69" s="18"/>
      <c r="L69" s="18"/>
      <c r="M69" s="18"/>
      <c r="N69" s="18"/>
      <c r="O69" s="18"/>
      <c r="P69" s="18"/>
    </row>
    <row r="70" spans="1:16" x14ac:dyDescent="0.3">
      <c r="A70" s="18"/>
      <c r="B70" s="18"/>
      <c r="C70" s="18"/>
      <c r="D70" s="16"/>
      <c r="E70" s="18"/>
      <c r="F70" s="18"/>
      <c r="G70" s="18"/>
      <c r="H70" s="18"/>
      <c r="I70" s="18"/>
      <c r="J70" s="18"/>
      <c r="K70" s="18"/>
      <c r="L70" s="18"/>
      <c r="M70" s="18"/>
      <c r="N70" s="18"/>
      <c r="O70" s="18"/>
      <c r="P70" s="18"/>
    </row>
    <row r="71" spans="1:16" x14ac:dyDescent="0.3">
      <c r="A71" s="29" t="s">
        <v>249</v>
      </c>
      <c r="B71" s="18"/>
      <c r="C71" s="18"/>
      <c r="D71" s="18"/>
      <c r="E71" s="18"/>
      <c r="F71" s="18"/>
      <c r="G71" s="18"/>
      <c r="H71" s="18"/>
      <c r="I71" s="18"/>
      <c r="J71" s="18"/>
      <c r="K71" s="18"/>
      <c r="L71" s="18"/>
      <c r="M71" s="18"/>
      <c r="N71" s="18"/>
      <c r="O71" s="18"/>
      <c r="P71" s="18"/>
    </row>
    <row r="72" spans="1:16" x14ac:dyDescent="0.3">
      <c r="A72" s="32" t="s">
        <v>251</v>
      </c>
      <c r="B72" s="18"/>
      <c r="C72" s="18"/>
      <c r="D72" s="18"/>
      <c r="E72" s="18"/>
      <c r="F72" s="18"/>
      <c r="G72" s="18"/>
      <c r="H72" s="18"/>
      <c r="I72" s="18"/>
      <c r="J72" s="18"/>
      <c r="K72" s="18"/>
      <c r="L72" s="18"/>
      <c r="M72" s="18"/>
      <c r="N72" s="18"/>
      <c r="O72" s="18"/>
      <c r="P72" s="18"/>
    </row>
    <row r="73" spans="1:16" x14ac:dyDescent="0.3">
      <c r="A73" s="18" t="s">
        <v>267</v>
      </c>
      <c r="B73" s="18"/>
      <c r="C73" s="18"/>
      <c r="D73" s="83" t="s">
        <v>268</v>
      </c>
      <c r="E73" s="18"/>
      <c r="F73" s="18"/>
      <c r="G73" s="18"/>
      <c r="H73" s="18"/>
      <c r="I73" s="18"/>
      <c r="J73" s="18"/>
      <c r="K73" s="18"/>
      <c r="L73" s="18"/>
      <c r="M73" s="18"/>
      <c r="N73" s="18"/>
      <c r="O73" s="18"/>
      <c r="P73" s="18"/>
    </row>
    <row r="74" spans="1:16" x14ac:dyDescent="0.3">
      <c r="A74" s="18" t="s">
        <v>269</v>
      </c>
      <c r="B74" s="18"/>
      <c r="C74" s="18"/>
      <c r="D74" s="83">
        <v>50</v>
      </c>
      <c r="E74" s="18"/>
      <c r="F74" s="18"/>
      <c r="G74" s="18"/>
      <c r="H74" s="18"/>
      <c r="I74" s="18"/>
      <c r="J74" s="18"/>
      <c r="K74" s="18"/>
      <c r="L74" s="18"/>
      <c r="M74" s="18"/>
      <c r="N74" s="18"/>
      <c r="O74" s="18"/>
      <c r="P74" s="18"/>
    </row>
    <row r="75" spans="1:16" x14ac:dyDescent="0.3">
      <c r="A75" s="18" t="s">
        <v>270</v>
      </c>
      <c r="B75" s="18"/>
      <c r="C75" s="18"/>
      <c r="D75" s="83">
        <v>100</v>
      </c>
      <c r="E75" s="18"/>
      <c r="F75" s="18"/>
      <c r="G75" s="18"/>
      <c r="H75" s="18"/>
      <c r="I75" s="18"/>
      <c r="J75" s="18"/>
      <c r="K75" s="18"/>
      <c r="L75" s="18"/>
      <c r="M75" s="18"/>
      <c r="N75" s="18"/>
      <c r="O75" s="18"/>
      <c r="P75" s="18"/>
    </row>
    <row r="76" spans="1:16" x14ac:dyDescent="0.3">
      <c r="A76" s="18" t="s">
        <v>271</v>
      </c>
      <c r="B76" s="18"/>
      <c r="C76" s="18"/>
      <c r="D76" s="83">
        <v>40</v>
      </c>
      <c r="E76" s="18" t="s">
        <v>250</v>
      </c>
      <c r="F76" s="18"/>
      <c r="G76" s="18"/>
      <c r="H76" s="18"/>
      <c r="I76" s="18"/>
      <c r="J76" s="18"/>
      <c r="K76" s="18"/>
      <c r="L76" s="18"/>
      <c r="M76" s="18"/>
      <c r="N76" s="18"/>
      <c r="O76" s="18"/>
      <c r="P76" s="18"/>
    </row>
  </sheetData>
  <mergeCells count="1">
    <mergeCell ref="A1:O1"/>
  </mergeCells>
  <pageMargins left="0.7" right="0.7" top="0.75" bottom="0.75" header="0.3" footer="0.3"/>
  <pageSetup paperSize="9" orientation="landscape"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Collector</vt:lpstr>
      <vt:lpstr>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Barnabas Minja</dc:creator>
  <cp:lastModifiedBy>Barnabas Minja</cp:lastModifiedBy>
  <cp:lastPrinted>2026-08-11T12:39:38Z</cp:lastPrinted>
  <dcterms:created xsi:type="dcterms:W3CDTF">2026-08-11T10:51:17Z</dcterms:created>
  <dcterms:modified xsi:type="dcterms:W3CDTF">2026-08-11T12:48:02Z</dcterms:modified>
</cp:coreProperties>
</file>